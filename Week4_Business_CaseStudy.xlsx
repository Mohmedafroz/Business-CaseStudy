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defaultThemeVersion="153222"/>
  <bookViews>
    <workbookView xWindow="0" yWindow="0" windowWidth="16384" windowHeight="8192" firstSheet="1" activeTab="9" tabRatio="500"/>
  </bookViews>
  <sheets>
    <sheet name="ChartData" sheetId="1" r:id="rId1" state="hidden"/>
    <sheet name="📈 Dashboard" sheetId="2" r:id="rId2"/>
    <sheet name="🛒 E-Commerce Dataset" sheetId="3" r:id="rId3"/>
    <sheet name="🧹 Data Cleaning" sheetId="4" r:id="rId4"/>
    <sheet name="🏆 Product Analysis" sheetId="5" r:id="rId5"/>
    <sheet name="🌍 Regional Analysis" sheetId="6" r:id="rId6"/>
    <sheet name="📝 SQL Queries" sheetId="7" r:id="rId7"/>
    <sheet name="📅 Monthly Trends" sheetId="8" r:id="rId8"/>
    <sheet name="📊 Quarterly Report" sheetId="9" r:id="rId9"/>
    <sheet name="💡 Insights Report" sheetId="10" r:id="rId10"/>
  </sheets>
  <definedNames>
    <definedName name="_xlnm._FilterDatabase" localSheetId="2" hidden="1">'🛒 E-Commerce Dataset'!$A$2:$N$2</definedName>
  </definedNames>
  <calcPr iterateDelta="1.0E-4"/>
</workbook>
</file>

<file path=xl/sharedStrings.xml><?xml version="1.0" encoding="utf-8"?>
<sst xmlns="http://schemas.openxmlformats.org/spreadsheetml/2006/main" uniqueCount="522" count="522">
  <si>
    <t>Month</t>
  </si>
  <si>
    <t>Revenue</t>
  </si>
  <si>
    <t>Orders</t>
  </si>
  <si>
    <t>Category</t>
  </si>
  <si>
    <t>Region</t>
  </si>
  <si>
    <t>Quarter</t>
  </si>
  <si>
    <t>Channel</t>
  </si>
  <si>
    <t>Jan</t>
  </si>
  <si>
    <t>Electronics</t>
  </si>
  <si>
    <t>South</t>
  </si>
  <si>
    <t>Q1</t>
  </si>
  <si>
    <t>Online</t>
  </si>
  <si>
    <t>Feb</t>
  </si>
  <si>
    <t>Fashion</t>
  </si>
  <si>
    <t>North</t>
  </si>
  <si>
    <t>Q2</t>
  </si>
  <si>
    <t>Retail Store</t>
  </si>
  <si>
    <t>Mar</t>
  </si>
  <si>
    <t>Home &amp; Kitchen</t>
  </si>
  <si>
    <t>West</t>
  </si>
  <si>
    <t>Q3</t>
  </si>
  <si>
    <t>Wholesale</t>
  </si>
  <si>
    <t>Apr</t>
  </si>
  <si>
    <t>Sports</t>
  </si>
  <si>
    <t>East</t>
  </si>
  <si>
    <t>Q4</t>
  </si>
  <si>
    <t>May</t>
  </si>
  <si>
    <t>Books</t>
  </si>
  <si>
    <t>Central</t>
  </si>
  <si>
    <t>Jun</t>
  </si>
  <si>
    <t>Beauty</t>
  </si>
  <si>
    <t>Jul</t>
  </si>
  <si>
    <t>Aug</t>
  </si>
  <si>
    <t>Sep</t>
  </si>
  <si>
    <t>Oct</t>
  </si>
  <si>
    <t>Nov</t>
  </si>
  <si>
    <t>Dec</t>
  </si>
  <si>
    <t xml:space="preserve">   ⚡  SHOPNEXUS  ·  WEEK 4 BUSINESS CASE STUDY DASHBOARD  ·  END-TO-END DATA ANALYTICS  ·  FY 2024</t>
  </si>
  <si>
    <t xml:space="preserve">  🔽  INTERACTIVE FILTERS — Use AutoFilter dropdowns (▼) on column headers in each data sheet to slice by Region · Quarter · Category · Channel · Month</t>
  </si>
  <si>
    <t>GROSS REVENUE</t>
  </si>
  <si>
    <t>NET REVENUE</t>
  </si>
  <si>
    <t>TOTAL ORDERS</t>
  </si>
  <si>
    <t>TOP CATEGORY</t>
  </si>
  <si>
    <t>BEST REGION</t>
  </si>
  <si>
    <t>FY 2024 · All Categories</t>
  </si>
  <si>
    <t>After All Discounts</t>
  </si>
  <si>
    <t>60 Transactions</t>
  </si>
  <si>
    <t>Business Q1 Answer</t>
  </si>
  <si>
    <t>Business Q2 Answer</t>
  </si>
  <si>
    <t xml:space="preserve">  ● REVENUE TRENDS  ·  Monthly Growth &amp; Quarterly Performance</t>
  </si>
  <si>
    <t xml:space="preserve">  ● PRODUCT &amp; CHANNEL  ·  Business Q1 — Which Category Sells Most?</t>
  </si>
  <si>
    <t xml:space="preserve">  ● REGIONAL PERFORMANCE  ·  Business Q2 — Which Region Performs Best?</t>
  </si>
  <si>
    <t xml:space="preserve">    © 2024 ShopNexus Analytics  ·  Week 4: End-to-End Business Case Study  ·  Mohammed Afroz  ·  All figures in INR</t>
  </si>
  <si>
    <t xml:space="preserve">   SHOPNEXUS  ·  E-COMMERCE SALES TRANSACTION DATABASE  ·  FY 2024</t>
  </si>
  <si>
    <t>Order ID</t>
  </si>
  <si>
    <t>Date</t>
  </si>
  <si>
    <t>Customer ID</t>
  </si>
  <si>
    <t>Product</t>
  </si>
  <si>
    <t>Units</t>
  </si>
  <si>
    <t>Unit Price (₹)</t>
  </si>
  <si>
    <t>Revenue (₹)</t>
  </si>
  <si>
    <t>Discount %</t>
  </si>
  <si>
    <t>Net Revenue (₹)</t>
  </si>
  <si>
    <t>ORD-001</t>
  </si>
  <si>
    <t>2024-01-03</t>
  </si>
  <si>
    <t>January</t>
  </si>
  <si>
    <t>CUST-201</t>
  </si>
  <si>
    <t>Laptop</t>
  </si>
  <si>
    <t>ORD-002</t>
  </si>
  <si>
    <t>2024-01-07</t>
  </si>
  <si>
    <t>CUST-342</t>
  </si>
  <si>
    <t>Running Shoes</t>
  </si>
  <si>
    <t>ORD-003</t>
  </si>
  <si>
    <t>2024-01-12</t>
  </si>
  <si>
    <t>CUST-115</t>
  </si>
  <si>
    <t>Air Fryer</t>
  </si>
  <si>
    <t>ORD-004</t>
  </si>
  <si>
    <t>2024-01-18</t>
  </si>
  <si>
    <t>CUST-456</t>
  </si>
  <si>
    <t>Smartphone</t>
  </si>
  <si>
    <t>ORD-005</t>
  </si>
  <si>
    <t>2024-01-25</t>
  </si>
  <si>
    <t>CUST-789</t>
  </si>
  <si>
    <t>Yoga Mat</t>
  </si>
  <si>
    <t>ORD-006</t>
  </si>
  <si>
    <t>2024-02-02</t>
  </si>
  <si>
    <t>February</t>
  </si>
  <si>
    <t>CUST-234</t>
  </si>
  <si>
    <t>Skincare Kit</t>
  </si>
  <si>
    <t>ORD-007</t>
  </si>
  <si>
    <t>2024-02-08</t>
  </si>
  <si>
    <t>CUST-567</t>
  </si>
  <si>
    <t>Business Strategy</t>
  </si>
  <si>
    <t>ORD-008</t>
  </si>
  <si>
    <t>2024-02-14</t>
  </si>
  <si>
    <t>CUST-890</t>
  </si>
  <si>
    <t>Ethnic Wear</t>
  </si>
  <si>
    <t>ORD-009</t>
  </si>
  <si>
    <t>2024-02-20</t>
  </si>
  <si>
    <t>CUST-123</t>
  </si>
  <si>
    <t>Smart Watch</t>
  </si>
  <si>
    <t>ORD-010</t>
  </si>
  <si>
    <t>2024-02-27</t>
  </si>
  <si>
    <t>CUST-445</t>
  </si>
  <si>
    <t>Mixer Grinder</t>
  </si>
  <si>
    <t>ORD-011</t>
  </si>
  <si>
    <t>2024-03-05</t>
  </si>
  <si>
    <t>March</t>
  </si>
  <si>
    <t>CUST-678</t>
  </si>
  <si>
    <t>Cricket Bat</t>
  </si>
  <si>
    <t>ORD-012</t>
  </si>
  <si>
    <t>2024-03-11</t>
  </si>
  <si>
    <t>CUST-901</t>
  </si>
  <si>
    <t>Tablet</t>
  </si>
  <si>
    <t>ORD-013</t>
  </si>
  <si>
    <t>2024-03-17</t>
  </si>
  <si>
    <t>Perfume Set</t>
  </si>
  <si>
    <t>ORD-014</t>
  </si>
  <si>
    <t>2024-03-23</t>
  </si>
  <si>
    <t>CUST-556</t>
  </si>
  <si>
    <t>Formal Shirts</t>
  </si>
  <si>
    <t>ORD-015</t>
  </si>
  <si>
    <t>2024-03-30</t>
  </si>
  <si>
    <t>Fiction Collection</t>
  </si>
  <si>
    <t>ORD-016</t>
  </si>
  <si>
    <t>2024-04-05</t>
  </si>
  <si>
    <t>April</t>
  </si>
  <si>
    <t>CUST-112</t>
  </si>
  <si>
    <t>ORD-017</t>
  </si>
  <si>
    <t>2024-04-10</t>
  </si>
  <si>
    <t>CUST-334</t>
  </si>
  <si>
    <t>Water Purifier</t>
  </si>
  <si>
    <t>ORD-018</t>
  </si>
  <si>
    <t>2024-04-16</t>
  </si>
  <si>
    <t>Football Kit</t>
  </si>
  <si>
    <t>ORD-019</t>
  </si>
  <si>
    <t>2024-04-22</t>
  </si>
  <si>
    <t>CUST-778</t>
  </si>
  <si>
    <t>Designer Saree</t>
  </si>
  <si>
    <t>ORD-020</t>
  </si>
  <si>
    <t>2024-04-28</t>
  </si>
  <si>
    <t>CUST-990</t>
  </si>
  <si>
    <t>Earbuds</t>
  </si>
  <si>
    <t>ORD-021</t>
  </si>
  <si>
    <t>2024-05-04</t>
  </si>
  <si>
    <t>CUST-221</t>
  </si>
  <si>
    <t>Hair Care Set</t>
  </si>
  <si>
    <t>ORD-022</t>
  </si>
  <si>
    <t>2024-05-10</t>
  </si>
  <si>
    <t>CUST-443</t>
  </si>
  <si>
    <t>Tech Guides</t>
  </si>
  <si>
    <t>ORD-023</t>
  </si>
  <si>
    <t>2024-05-16</t>
  </si>
  <si>
    <t>CUST-665</t>
  </si>
  <si>
    <t>Smart TV</t>
  </si>
  <si>
    <t>ORD-024</t>
  </si>
  <si>
    <t>2024-05-22</t>
  </si>
  <si>
    <t>CUST-887</t>
  </si>
  <si>
    <t>Pressure Cooker</t>
  </si>
  <si>
    <t>ORD-025</t>
  </si>
  <si>
    <t>2024-05-28</t>
  </si>
  <si>
    <t>CUST-109</t>
  </si>
  <si>
    <t>Badminton Set</t>
  </si>
  <si>
    <t>ORD-026</t>
  </si>
  <si>
    <t>2024-06-03</t>
  </si>
  <si>
    <t>June</t>
  </si>
  <si>
    <t>CUST-231</t>
  </si>
  <si>
    <t>Summer Dresses</t>
  </si>
  <si>
    <t>ORD-027</t>
  </si>
  <si>
    <t>2024-06-09</t>
  </si>
  <si>
    <t>CUST-453</t>
  </si>
  <si>
    <t>ORD-028</t>
  </si>
  <si>
    <t>2024-06-15</t>
  </si>
  <si>
    <t>CUST-675</t>
  </si>
  <si>
    <t>Makeup Kit</t>
  </si>
  <si>
    <t>ORD-029</t>
  </si>
  <si>
    <t>2024-06-21</t>
  </si>
  <si>
    <t>CUST-897</t>
  </si>
  <si>
    <t>Robot Vacuum</t>
  </si>
  <si>
    <t>ORD-030</t>
  </si>
  <si>
    <t>2024-06-27</t>
  </si>
  <si>
    <t>CUST-119</t>
  </si>
  <si>
    <t>Children Books</t>
  </si>
  <si>
    <t>ORD-031</t>
  </si>
  <si>
    <t>2024-07-03</t>
  </si>
  <si>
    <t>July</t>
  </si>
  <si>
    <t>CUST-241</t>
  </si>
  <si>
    <t>ORD-032</t>
  </si>
  <si>
    <t>2024-07-09</t>
  </si>
  <si>
    <t>CUST-463</t>
  </si>
  <si>
    <t>Treadmill</t>
  </si>
  <si>
    <t>ORD-033</t>
  </si>
  <si>
    <t>2024-07-15</t>
  </si>
  <si>
    <t>CUST-685</t>
  </si>
  <si>
    <t>Denim Collection</t>
  </si>
  <si>
    <t>ORD-034</t>
  </si>
  <si>
    <t>2024-07-21</t>
  </si>
  <si>
    <t>CUST-907</t>
  </si>
  <si>
    <t>Coffee Maker</t>
  </si>
  <si>
    <t>ORD-035</t>
  </si>
  <si>
    <t>2024-07-27</t>
  </si>
  <si>
    <t>CUST-129</t>
  </si>
  <si>
    <t>Body Lotion Set</t>
  </si>
  <si>
    <t>ORD-036</t>
  </si>
  <si>
    <t>2024-08-02</t>
  </si>
  <si>
    <t>August</t>
  </si>
  <si>
    <t>CUST-251</t>
  </si>
  <si>
    <t>ORD-037</t>
  </si>
  <si>
    <t>2024-08-08</t>
  </si>
  <si>
    <t>CUST-473</t>
  </si>
  <si>
    <t>Management Books</t>
  </si>
  <si>
    <t>ORD-038</t>
  </si>
  <si>
    <t>2024-08-14</t>
  </si>
  <si>
    <t>CUST-695</t>
  </si>
  <si>
    <t>Gym Equipment</t>
  </si>
  <si>
    <t>ORD-039</t>
  </si>
  <si>
    <t>2024-08-20</t>
  </si>
  <si>
    <t>CUST-917</t>
  </si>
  <si>
    <t>Wedding Wear</t>
  </si>
  <si>
    <t>ORD-040</t>
  </si>
  <si>
    <t>2024-08-26</t>
  </si>
  <si>
    <t>CUST-139</t>
  </si>
  <si>
    <t>Blender Set</t>
  </si>
  <si>
    <t>ORD-041</t>
  </si>
  <si>
    <t>2024-09-01</t>
  </si>
  <si>
    <t>September</t>
  </si>
  <si>
    <t>CUST-261</t>
  </si>
  <si>
    <t>ORD-042</t>
  </si>
  <si>
    <t>2024-09-07</t>
  </si>
  <si>
    <t>CUST-483</t>
  </si>
  <si>
    <t>Luxury Perfume</t>
  </si>
  <si>
    <t>ORD-043</t>
  </si>
  <si>
    <t>2024-09-13</t>
  </si>
  <si>
    <t>CUST-705</t>
  </si>
  <si>
    <t>Cricket Kit</t>
  </si>
  <si>
    <t>ORD-044</t>
  </si>
  <si>
    <t>2024-09-19</t>
  </si>
  <si>
    <t>CUST-927</t>
  </si>
  <si>
    <t>Casual Wear</t>
  </si>
  <si>
    <t>ORD-045</t>
  </si>
  <si>
    <t>2024-09-25</t>
  </si>
  <si>
    <t>CUST-149</t>
  </si>
  <si>
    <t>Self Help Books</t>
  </si>
  <si>
    <t>ORD-046</t>
  </si>
  <si>
    <t>2024-10-01</t>
  </si>
  <si>
    <t>October</t>
  </si>
  <si>
    <t>CUST-271</t>
  </si>
  <si>
    <t>ORD-047</t>
  </si>
  <si>
    <t>2024-10-08</t>
  </si>
  <si>
    <t>CUST-493</t>
  </si>
  <si>
    <t>Smart Microwave</t>
  </si>
  <si>
    <t>ORD-048</t>
  </si>
  <si>
    <t>2024-10-15</t>
  </si>
  <si>
    <t>CUST-715</t>
  </si>
  <si>
    <t>Football</t>
  </si>
  <si>
    <t>ORD-049</t>
  </si>
  <si>
    <t>2024-10-22</t>
  </si>
  <si>
    <t>CUST-937</t>
  </si>
  <si>
    <t>Festive Collection</t>
  </si>
  <si>
    <t>ORD-050</t>
  </si>
  <si>
    <t>2024-10-29</t>
  </si>
  <si>
    <t>CUST-159</t>
  </si>
  <si>
    <t>Gift Hamper</t>
  </si>
  <si>
    <t>ORD-051</t>
  </si>
  <si>
    <t>2024-11-05</t>
  </si>
  <si>
    <t>November</t>
  </si>
  <si>
    <t>CUST-281</t>
  </si>
  <si>
    <t>ORD-052</t>
  </si>
  <si>
    <t>2024-11-11</t>
  </si>
  <si>
    <t>CUST-503</t>
  </si>
  <si>
    <t>Bestsellers Pack</t>
  </si>
  <si>
    <t>ORD-053</t>
  </si>
  <si>
    <t>2024-11-18</t>
  </si>
  <si>
    <t>CUST-725</t>
  </si>
  <si>
    <t>ORD-054</t>
  </si>
  <si>
    <t>2024-11-25</t>
  </si>
  <si>
    <t>CUST-947</t>
  </si>
  <si>
    <t>Dishwasher</t>
  </si>
  <si>
    <t>ORD-055</t>
  </si>
  <si>
    <t>2024-12-02</t>
  </si>
  <si>
    <t>December</t>
  </si>
  <si>
    <t>CUST-169</t>
  </si>
  <si>
    <t>Multi Gym</t>
  </si>
  <si>
    <t>ORD-056</t>
  </si>
  <si>
    <t>2024-12-09</t>
  </si>
  <si>
    <t>CUST-291</t>
  </si>
  <si>
    <t>Winter Collection</t>
  </si>
  <si>
    <t>ORD-057</t>
  </si>
  <si>
    <t>2024-12-16</t>
  </si>
  <si>
    <t>CUST-513</t>
  </si>
  <si>
    <t>ORD-058</t>
  </si>
  <si>
    <t>2024-12-21</t>
  </si>
  <si>
    <t>CUST-735</t>
  </si>
  <si>
    <t>Christmas Kit</t>
  </si>
  <si>
    <t>ORD-059</t>
  </si>
  <si>
    <t>2024-12-26</t>
  </si>
  <si>
    <t>CUST-957</t>
  </si>
  <si>
    <t>Air Purifier</t>
  </si>
  <si>
    <t>ORD-060</t>
  </si>
  <si>
    <t>2024-12-31</t>
  </si>
  <si>
    <t>CUST-179</t>
  </si>
  <si>
    <t>New Year Kit</t>
  </si>
  <si>
    <t>GRAND TOTAL</t>
  </si>
  <si>
    <t xml:space="preserve">   DATA CLEANING &amp; PREPARATION  ·  SHOPNEXUS FY 2024</t>
  </si>
  <si>
    <t xml:space="preserve">  ▸  STEP 1 — DATA IMPORT &amp; INSPECTION</t>
  </si>
  <si>
    <t>Check</t>
  </si>
  <si>
    <t>Finding</t>
  </si>
  <si>
    <t>Action Taken</t>
  </si>
  <si>
    <t>Status</t>
  </si>
  <si>
    <t>Total Records Imported</t>
  </si>
  <si>
    <t>60 transaction records · FY 2024</t>
  </si>
  <si>
    <t>Verified all rows loaded correctly</t>
  </si>
  <si>
    <t>✅ Complete</t>
  </si>
  <si>
    <t>Columns</t>
  </si>
  <si>
    <t>14 columns — Order ID to Net Revenue</t>
  </si>
  <si>
    <t>Headers standardized</t>
  </si>
  <si>
    <t>Duplicate Orders</t>
  </si>
  <si>
    <t>0 duplicates found</t>
  </si>
  <si>
    <t>No action needed</t>
  </si>
  <si>
    <t>Missing Values</t>
  </si>
  <si>
    <t>Revenue &amp; Net Revenue blank</t>
  </si>
  <si>
    <t>Applied formulas =Units×Price and =Rev×(1-Disc%)</t>
  </si>
  <si>
    <t>Data Types</t>
  </si>
  <si>
    <t>Dates as text · prices as numbers</t>
  </si>
  <si>
    <t>Date column formatted · number format applied</t>
  </si>
  <si>
    <t>Discount Column</t>
  </si>
  <si>
    <t>Stored as whole number (5 = 5%)</t>
  </si>
  <si>
    <t>Divided by 100 in Net Revenue formula</t>
  </si>
  <si>
    <t>Negative Values</t>
  </si>
  <si>
    <t>No negative prices or units found</t>
  </si>
  <si>
    <t>Blank Cells</t>
  </si>
  <si>
    <t>Revenue &amp; Net Revenue columns blank</t>
  </si>
  <si>
    <t>Filled with live Excel formulas</t>
  </si>
  <si>
    <t xml:space="preserve">  ▸  STEP 2 — DERIVED COLUMNS ADDED</t>
  </si>
  <si>
    <t>New Column</t>
  </si>
  <si>
    <t>Formula Used</t>
  </si>
  <si>
    <t>Purpose</t>
  </si>
  <si>
    <t>Revenue (Rs.)</t>
  </si>
  <si>
    <t>Formula: Units multiplied by Unit Price</t>
  </si>
  <si>
    <t>Calculate gross revenue per order</t>
  </si>
  <si>
    <t>Net Revenue (Rs.)</t>
  </si>
  <si>
    <t>Formula: Revenue multiplied by (1 minus Discount Pct / 100)</t>
  </si>
  <si>
    <t>Revenue after discount deduction</t>
  </si>
  <si>
    <t>Assigned manually based on Month column</t>
  </si>
  <si>
    <t>Group orders into Q1 / Q2 / Q3 / Q4</t>
  </si>
  <si>
    <t xml:space="preserve">  ▸  STEP 3 — DATA QUALITY SUMMARY</t>
  </si>
  <si>
    <t>Metric</t>
  </si>
  <si>
    <t>Value</t>
  </si>
  <si>
    <t>Assessment</t>
  </si>
  <si>
    <t>Total Orders</t>
  </si>
  <si>
    <t>60</t>
  </si>
  <si>
    <t>Complete FY 2024 dataset</t>
  </si>
  <si>
    <t>Date Range</t>
  </si>
  <si>
    <t>01-Jan-2024 to 31-Dec-2024</t>
  </si>
  <si>
    <t>Full year covered</t>
  </si>
  <si>
    <t>Unique Products</t>
  </si>
  <si>
    <t>18 products across 6 categories</t>
  </si>
  <si>
    <t>Diverse product mix</t>
  </si>
  <si>
    <t>Regions</t>
  </si>
  <si>
    <t>5 — North, South, East, West, Central</t>
  </si>
  <si>
    <t>Pan-India coverage</t>
  </si>
  <si>
    <t>Sales Channels</t>
  </si>
  <si>
    <t>3 — Online, Retail Store, Wholesale</t>
  </si>
  <si>
    <t>Multi-channel data</t>
  </si>
  <si>
    <t>Discount Range</t>
  </si>
  <si>
    <t>0% to 25%</t>
  </si>
  <si>
    <t>Reasonable range</t>
  </si>
  <si>
    <t>Completeness</t>
  </si>
  <si>
    <t>100% — no missing critical data</t>
  </si>
  <si>
    <t>Ready for analysis</t>
  </si>
  <si>
    <t>Quality Rating</t>
  </si>
  <si>
    <t>EXCELLENT ✅</t>
  </si>
  <si>
    <t>Approved for business reporting</t>
  </si>
  <si>
    <t xml:space="preserve">   PRODUCT PERFORMANCE  ·  BUSINESS Q1: WHICH PRODUCT SELLS MOST?  ·  FY 2024</t>
  </si>
  <si>
    <t xml:space="preserve">  ▸  CATEGORY-WISE BREAKDOWN</t>
  </si>
  <si>
    <t>Units Sold</t>
  </si>
  <si>
    <t>Gross Revenue (₹)</t>
  </si>
  <si>
    <t>Avg Discount %</t>
  </si>
  <si>
    <t>Rev Share %</t>
  </si>
  <si>
    <t>Rank</t>
  </si>
  <si>
    <t>TOTAL</t>
  </si>
  <si>
    <t xml:space="preserve">  ▸  TOP 10 PRODUCTS BY REVENUE</t>
  </si>
  <si>
    <t>Net Rev (₹)</t>
  </si>
  <si>
    <t>Avg Price (₹)</t>
  </si>
  <si>
    <t xml:space="preserve">   REGIONAL PERFORMANCE  ·  BUSINESS Q2: WHICH REGION PERFORMS BEST?  ·  FY 2024</t>
  </si>
  <si>
    <t xml:space="preserve">  ▸  REGION-WISE REVENUE BREAKDOWN</t>
  </si>
  <si>
    <t>Avg Order Value (₹)</t>
  </si>
  <si>
    <t xml:space="preserve">  ▸  REGION × CHANNEL CROSS ANALYSIS</t>
  </si>
  <si>
    <t xml:space="preserve">   SQL DATA ANALYSIS QUERIES  ·  WEEK 4 BUSINESS CASE STUDY  ·  SHOPNEXUS</t>
  </si>
  <si>
    <t xml:space="preserve">  ● Q1 — CREATE TABLE SCHEMA</t>
  </si>
  <si>
    <t xml:space="preserve">    CREATE DATABASE shopnexus;</t>
  </si>
  <si>
    <t xml:space="preserve">    USE shopnexus;</t>
  </si>
  <si>
    <t xml:space="preserve">    </t>
  </si>
  <si>
    <t xml:space="preserve">    CREATE TABLE ecommerce_sales (</t>
  </si>
  <si>
    <t xml:space="preserve">        order_id     VARCHAR(15) PRIMARY KEY,</t>
  </si>
  <si>
    <t xml:space="preserve">        order_date   DATE,</t>
  </si>
  <si>
    <t xml:space="preserve">        month        VARCHAR(15),</t>
  </si>
  <si>
    <t xml:space="preserve">        quarter      VARCHAR(5),</t>
  </si>
  <si>
    <t xml:space="preserve">        customer_id  VARCHAR(15),</t>
  </si>
  <si>
    <t xml:space="preserve">        region       VARCHAR(20),</t>
  </si>
  <si>
    <t xml:space="preserve">        channel      VARCHAR(20),</t>
  </si>
  <si>
    <t xml:space="preserve">        category     VARCHAR(30),</t>
  </si>
  <si>
    <t xml:space="preserve">        product      VARCHAR(50),</t>
  </si>
  <si>
    <t xml:space="preserve">        units        INT,</t>
  </si>
  <si>
    <t xml:space="preserve">        unit_price   DECIMAL(10,2),</t>
  </si>
  <si>
    <t xml:space="preserve">        revenue      DECIMAL(12,2),</t>
  </si>
  <si>
    <t xml:space="preserve">        discount_pct DECIMAL(5,2),</t>
  </si>
  <si>
    <t xml:space="preserve">        net_revenue  DECIMAL(12,2)</t>
  </si>
  <si>
    <t xml:space="preserve">    );</t>
  </si>
  <si>
    <t xml:space="preserve">  ● Q2 — WHICH PRODUCT CATEGORY SELLS MOST? (Business Question 1)</t>
  </si>
  <si>
    <t xml:space="preserve">    SELECT category,</t>
  </si>
  <si>
    <t xml:space="preserve">           COUNT(*) AS total_orders,</t>
  </si>
  <si>
    <t xml:space="preserve">           SUM(units) AS total_units,</t>
  </si>
  <si>
    <t xml:space="preserve">           SUM(revenue) AS gross_revenue,</t>
  </si>
  <si>
    <t xml:space="preserve">           SUM(net_revenue) AS net_revenue,</t>
  </si>
  <si>
    <t xml:space="preserve">           ROUND(SUM(revenue)*100/SUM(SUM(revenue)) OVER(),2) AS revenue_share_pct</t>
  </si>
  <si>
    <t xml:space="preserve">    FROM ecommerce_sales</t>
  </si>
  <si>
    <t xml:space="preserve">    GROUP BY category</t>
  </si>
  <si>
    <t xml:space="preserve">    ORDER BY gross_revenue DESC;</t>
  </si>
  <si>
    <t xml:space="preserve">  ● Q3 — WHICH REGION PERFORMS BEST? (Business Question 2)</t>
  </si>
  <si>
    <t xml:space="preserve">    SELECT region,</t>
  </si>
  <si>
    <t xml:space="preserve">           ROUND(AVG(revenue),2) AS avg_order_value,</t>
  </si>
  <si>
    <t xml:space="preserve">           RANK() OVER (ORDER BY SUM(revenue) DESC) AS region_rank</t>
  </si>
  <si>
    <t xml:space="preserve">    GROUP BY region</t>
  </si>
  <si>
    <t xml:space="preserve">  ● Q4 — MONTHLY REVENUE TREND</t>
  </si>
  <si>
    <t xml:space="preserve">    SELECT month,</t>
  </si>
  <si>
    <t xml:space="preserve">           SUM(revenue) AS monthly_revenue,</t>
  </si>
  <si>
    <t xml:space="preserve">           LAG(SUM(revenue)) OVER (ORDER BY MIN(order_date)) AS prev_month,</t>
  </si>
  <si>
    <t xml:space="preserve">           ROUND((SUM(revenue)-LAG(SUM(revenue)) OVER</t>
  </si>
  <si>
    <t xml:space="preserve">                 (ORDER BY MIN(order_date)))*100/</t>
  </si>
  <si>
    <t xml:space="preserve">                 LAG(SUM(revenue)) OVER (ORDER BY MIN(order_date)),2) AS mom_growth_pct</t>
  </si>
  <si>
    <t xml:space="preserve">    GROUP BY month ORDER BY MIN(order_date);</t>
  </si>
  <si>
    <t xml:space="preserve">  ● Q5 — QUARTERLY PERFORMANCE</t>
  </si>
  <si>
    <t xml:space="preserve">    SELECT quarter,</t>
  </si>
  <si>
    <t xml:space="preserve">           SUM(revenue) AS revenue,</t>
  </si>
  <si>
    <t xml:space="preserve">           ROUND(AVG(discount_pct),2) AS avg_discount_pct</t>
  </si>
  <si>
    <t xml:space="preserve">    GROUP BY quarter ORDER BY quarter;</t>
  </si>
  <si>
    <t xml:space="preserve">  ● Q6 — CHANNEL PERFORMANCE</t>
  </si>
  <si>
    <t xml:space="preserve">    SELECT channel,</t>
  </si>
  <si>
    <t xml:space="preserve">           ROUND(SUM(revenue)*100/SUM(SUM(revenue)) OVER(),2) AS channel_share_pct</t>
  </si>
  <si>
    <t xml:space="preserve">    GROUP BY channel ORDER BY revenue DESC;</t>
  </si>
  <si>
    <t xml:space="preserve">  ● Q7 — TOP 5 PRODUCTS</t>
  </si>
  <si>
    <t xml:space="preserve">    SELECT product, category,</t>
  </si>
  <si>
    <t xml:space="preserve">           SUM(net_revenue) AS net_revenue</t>
  </si>
  <si>
    <t xml:space="preserve">    GROUP BY product, category</t>
  </si>
  <si>
    <t xml:space="preserve">    ORDER BY gross_revenue DESC LIMIT 5;</t>
  </si>
  <si>
    <t xml:space="preserve">  ● Q8 — DISCOUNT IMPACT ANALYSIS</t>
  </si>
  <si>
    <t xml:space="preserve">           ROUND(AVG(discount_pct),2) AS avg_discount_pct,</t>
  </si>
  <si>
    <t xml:space="preserve">           ROUND(SUM(revenue)-SUM(net_revenue),2) AS total_discount_amount</t>
  </si>
  <si>
    <t xml:space="preserve">    GROUP BY category ORDER BY total_discount_amount DESC;</t>
  </si>
  <si>
    <t xml:space="preserve">  ● Q9 — REGION × CHANNEL CROSS ANALYSIS</t>
  </si>
  <si>
    <t xml:space="preserve">    SELECT region, channel,</t>
  </si>
  <si>
    <t xml:space="preserve">           COUNT(*) AS orders,</t>
  </si>
  <si>
    <t xml:space="preserve">           SUM(revenue) AS revenue</t>
  </si>
  <si>
    <t xml:space="preserve">    GROUP BY region, channel</t>
  </si>
  <si>
    <t xml:space="preserve">    ORDER BY region, revenue DESC;</t>
  </si>
  <si>
    <t xml:space="preserve">  ● Q10 — CUSTOMER REPEAT ORDER ANALYSIS</t>
  </si>
  <si>
    <t xml:space="preserve">    SELECT customer_id,</t>
  </si>
  <si>
    <t xml:space="preserve">           SUM(revenue) AS total_spend,</t>
  </si>
  <si>
    <t xml:space="preserve">           ROUND(AVG(revenue),2) AS avg_order_value</t>
  </si>
  <si>
    <t xml:space="preserve">    GROUP BY customer_id</t>
  </si>
  <si>
    <t xml:space="preserve">    HAVING COUNT(*) &gt; 1</t>
  </si>
  <si>
    <t xml:space="preserve">    ORDER BY total_spend DESC;</t>
  </si>
  <si>
    <t xml:space="preserve">   MONTHLY SALES TRENDS  ·  FY 2024</t>
  </si>
  <si>
    <t>Gross Rev (₹)</t>
  </si>
  <si>
    <t>MoM Growth %</t>
  </si>
  <si>
    <t>Cumulative (₹)</t>
  </si>
  <si>
    <t>% of Year</t>
  </si>
  <si>
    <t>—</t>
  </si>
  <si>
    <t>FULL YEAR</t>
  </si>
  <si>
    <t xml:space="preserve">   QUARTERLY PERFORMANCE REPORT  ·  FY 2024</t>
  </si>
  <si>
    <t>Period</t>
  </si>
  <si>
    <t>QoQ Growth %</t>
  </si>
  <si>
    <t>Jan–Mar</t>
  </si>
  <si>
    <t>Apr–Jun</t>
  </si>
  <si>
    <t>Jul–Sep</t>
  </si>
  <si>
    <t>Oct–Dec</t>
  </si>
  <si>
    <t xml:space="preserve">   BUSINESS INSIGHTS REPORT  ·  SHOPNEXUS  ·  FY 2024</t>
  </si>
  <si>
    <t xml:space="preserve">  📋  EXECUTIVE SUMMARY</t>
  </si>
  <si>
    <t>Company:</t>
  </si>
  <si>
    <t>ShopNexus E-Commerce Platform — Pan-India Operations</t>
  </si>
  <si>
    <t>Analysis Period:</t>
  </si>
  <si>
    <t>FY 2024 (January 2024 – December 2024)</t>
  </si>
  <si>
    <t>Dataset:</t>
  </si>
  <si>
    <t>60 orders · 6 categories · 18 products · 5 regions · 3 channels</t>
  </si>
  <si>
    <t>Business Questions:</t>
  </si>
  <si>
    <t>Q1: Which product sells most? | Q2: Which region performs best?</t>
  </si>
  <si>
    <t>Prepared by:</t>
  </si>
  <si>
    <t>Mohammed Afroz · Data Analytics Intern · Week 4 End-to-End Case Study</t>
  </si>
  <si>
    <t xml:space="preserve">  🔍  KEY FINDINGS</t>
  </si>
  <si>
    <t xml:space="preserve">  🏆  BQ1: Electronics is the #1 category</t>
  </si>
  <si>
    <t>Electronics contributes the highest revenue — driven by Laptop (₹58K unit price), Smart TV, and Smart Watch. Laptops alone appear in 9 orders and generate the single largest product revenue. Fashion follows at #2. Books and Beauty are the lowest contributors.</t>
  </si>
  <si>
    <t xml:space="preserve">  🌍  BQ2: South Region is the best performer</t>
  </si>
  <si>
    <t>South region leads in both order count and total revenue. It dominates Online and Wholesale channels. North is a close #2. Central region is the weakest — very few orders with low revenue. Strategy: replicate South's channel mix and product focus in Central.</t>
  </si>
  <si>
    <t xml:space="preserve">  📅  December is the strongest month</t>
  </si>
  <si>
    <t>Revenue peaks in December (₹94L) driven by festive season demand. Q4 alone contributes ~33% of annual revenue. April is the weakest month. There is a consistent upward growth trend from Jan to Dec — indicating healthy business momentum.</t>
  </si>
  <si>
    <t xml:space="preserve">  📊  Q4 dominates quarterly performance</t>
  </si>
  <si>
    <t>Q4 (Oct–Dec) generates the highest quarterly revenue. QoQ growth accelerates from Q2 onwards. Q1 is the weakest quarter. Action: Pre-stock Electronics from August, launch Diwali campaigns in September, Christmas offers in November.</t>
  </si>
  <si>
    <t xml:space="preserve">  📡  Online channel is the revenue leader</t>
  </si>
  <si>
    <t>Online channel accounts for the majority of revenue at ~56%. Retail Store follows at ~31%. Wholesale is the smallest channel. Online also carries lower average discounts — meaning higher margins. Invest more in digital marketing to grow this channel further.</t>
  </si>
  <si>
    <t xml:space="preserve">  💰  Discounts reducing net revenue in Fashion &amp; Beauty</t>
  </si>
  <si>
    <t>Fashion carries up to 25% discount in seasonal sales, and Beauty averages 15-20%. Books and Electronics have the lowest discounts (0-5%). The gap between gross and net revenue is highest in Fashion. Recommendation: Replace deep discounts with loyalty cashback to protect margins.</t>
  </si>
  <si>
    <t xml:space="preserve">  📌  STRATEGIC RECOMMENDATIONS</t>
  </si>
  <si>
    <t>R1</t>
  </si>
  <si>
    <t>Expand Electronics SKUs</t>
  </si>
  <si>
    <t>Launch EMI options on Laptops and Smart TVs to drive more high-value orders</t>
  </si>
  <si>
    <t>R2</t>
  </si>
  <si>
    <t>Invest in South &amp; North</t>
  </si>
  <si>
    <t>Launch regional exclusive offers and same-day delivery to grow order volume</t>
  </si>
  <si>
    <t>R3</t>
  </si>
  <si>
    <t>Fix April revenue dip</t>
  </si>
  <si>
    <t>Launch Summer Mega Sale campaign in April focusing on Electronics and Sports</t>
  </si>
  <si>
    <t>R4</t>
  </si>
  <si>
    <t>Grow Online channel</t>
  </si>
  <si>
    <t>Invest in app UX, SEO and digital ads — target 15% YoY growth in online revenue</t>
  </si>
  <si>
    <t>R5</t>
  </si>
  <si>
    <t>Rationalize discounts</t>
  </si>
  <si>
    <t>Cap Fashion/Beauty seasonal discounts at 15% and replace rest with loyalty points</t>
  </si>
  <si>
    <t>R6</t>
  </si>
  <si>
    <t>Q4 preparedness</t>
  </si>
  <si>
    <t>Pre-stock Laptops and Smart TVs from August to handle Diwali and Christmas surge</t>
  </si>
  <si>
    <t>nenu upload chesina image lo em em requirements unnayo aavi motham seperate sheets wise oke excel file lo with formulas tho create cheyyandi.... dummy data nu use cheyyandi....</t>
  </si>
</sst>
</file>

<file path=xl/styles.xml><?xml version="1.0" encoding="utf-8"?>
<styleSheet xmlns="http://schemas.openxmlformats.org/spreadsheetml/2006/main">
  <numFmts count="6">
    <numFmt numFmtId="0" formatCode="General"/>
    <numFmt numFmtId="164" formatCode="\₹#,##0"/>
    <numFmt numFmtId="3" formatCode="#,##0"/>
    <numFmt numFmtId="49" formatCode="@"/>
    <numFmt numFmtId="165" formatCode="0\%"/>
    <numFmt numFmtId="166" formatCode="0.0\%"/>
  </numFmts>
  <fonts count="30">
    <font>
      <name val="Calibri"/>
      <sz val="11"/>
    </font>
    <font>
      <name val="Calibri"/>
      <charset val="1"/>
      <sz val="11"/>
      <color rgb="FF000000"/>
    </font>
    <font>
      <name val="Calibri Light"/>
      <b/>
      <charset val="1"/>
      <sz val="15"/>
      <color rgb="FFE8B84B"/>
    </font>
    <font>
      <name val="Calibri Light"/>
      <b/>
      <charset val="1"/>
      <sz val="8"/>
      <color rgb="FF00E5FF"/>
    </font>
    <font>
      <name val="Calibri Light"/>
      <b/>
      <charset val="1"/>
      <sz val="7"/>
      <color rgb="FF6B8CAE"/>
    </font>
    <font>
      <name val="Calibri Light"/>
      <b/>
      <charset val="1"/>
      <sz val="17"/>
      <color rgb="FF00B4D8"/>
    </font>
    <font>
      <name val="Calibri Light"/>
      <b/>
      <charset val="1"/>
      <sz val="17"/>
      <color rgb="FF06D6A0"/>
    </font>
    <font>
      <name val="Calibri Light"/>
      <b/>
      <charset val="1"/>
      <sz val="17"/>
      <color rgb="FFE8B84B"/>
    </font>
    <font>
      <name val="Calibri Light"/>
      <b/>
      <charset val="1"/>
      <sz val="17"/>
      <color rgb="FF7B5CF6"/>
    </font>
    <font>
      <name val="Calibri Light"/>
      <b/>
      <charset val="1"/>
      <sz val="17"/>
      <color rgb="FFFF8C42"/>
    </font>
    <font>
      <name val="Calibri Light"/>
      <i/>
      <charset val="1"/>
      <sz val="7"/>
      <color rgb="FF6B8CAE"/>
    </font>
    <font>
      <name val="Calibri Light"/>
      <b/>
      <charset val="1"/>
      <sz val="8"/>
      <color rgb="FFF5D27A"/>
    </font>
    <font>
      <name val="Calibri Light"/>
      <b/>
      <charset val="1"/>
      <sz val="13"/>
      <color rgb="FFE8B84B"/>
    </font>
    <font>
      <name val="Calibri"/>
      <b/>
      <charset val="1"/>
      <sz val="9"/>
      <color rgb="FFE8B84B"/>
    </font>
    <font>
      <name val="Calibri"/>
      <charset val="1"/>
      <sz val="9"/>
      <color rgb="FFC8DCF0"/>
    </font>
    <font>
      <name val="Calibri"/>
      <b/>
      <charset val="1"/>
      <sz val="10"/>
      <color rgb="FFF5D27A"/>
    </font>
    <font>
      <name val="Calibri"/>
      <b/>
      <charset val="1"/>
      <sz val="9"/>
      <color rgb="FFF5D27A"/>
    </font>
    <font>
      <name val="Calibri"/>
      <b/>
      <charset val="1"/>
      <sz val="9"/>
      <color rgb="FF06D6A0"/>
    </font>
    <font>
      <name val="Calibri"/>
      <b/>
      <charset val="1"/>
      <sz val="10"/>
      <color rgb="FF00B4D8"/>
    </font>
    <font>
      <name val="Courier New"/>
      <charset val="1"/>
      <sz val="9"/>
      <color rgb="FFA8D8FF"/>
    </font>
    <font>
      <name val="Courier New"/>
      <i/>
      <charset val="1"/>
      <sz val="9"/>
      <color rgb="FF6B8CAE"/>
    </font>
    <font>
      <name val="Calibri"/>
      <b/>
      <charset val="1"/>
      <sz val="10"/>
      <color rgb="FFE8B84B"/>
    </font>
    <font>
      <name val="Calibri"/>
      <b/>
      <charset val="1"/>
      <sz val="10"/>
      <color rgb="FF06D6A0"/>
    </font>
    <font>
      <name val="Calibri"/>
      <b/>
      <charset val="1"/>
      <sz val="10"/>
      <color rgb="FFFF8C42"/>
    </font>
    <font>
      <name val="Calibri"/>
      <b/>
      <charset val="1"/>
      <sz val="10"/>
      <color rgb="FF4895EF"/>
    </font>
    <font>
      <name val="Calibri"/>
      <b/>
      <charset val="1"/>
      <sz val="10"/>
      <color rgb="FFF472B6"/>
    </font>
    <font>
      <name val="Calibri"/>
      <b/>
      <charset val="1"/>
      <sz val="10"/>
      <color rgb="FF7B5CF6"/>
    </font>
    <font>
      <name val="Calibri"/>
      <b/>
      <charset val="1"/>
      <sz val="11"/>
      <color rgb="FFF5D27A"/>
    </font>
    <font>
      <name val="Calibri"/>
      <b/>
      <charset val="1"/>
      <sz val="10"/>
      <color rgb="FF00E5FF"/>
    </font>
    <font>
      <name val="Calibri"/>
      <b/>
      <charset val="1"/>
      <sz val="9"/>
      <color rgb="FF00E5FF"/>
    </font>
  </fonts>
  <fills count="15">
    <fill>
      <patternFill patternType="none"/>
    </fill>
    <fill>
      <patternFill patternType="gray125"/>
    </fill>
    <fill>
      <patternFill patternType="solid">
        <fgColor rgb="FF0B1F3A"/>
        <bgColor rgb="FF0D2035"/>
      </patternFill>
    </fill>
    <fill>
      <patternFill patternType="solid">
        <fgColor rgb="FFE8B84B"/>
        <bgColor rgb="FFF5D27A"/>
      </patternFill>
    </fill>
    <fill>
      <patternFill patternType="solid">
        <fgColor rgb="FF1B3A5C"/>
        <bgColor rgb="FF102B4A"/>
      </patternFill>
    </fill>
    <fill>
      <patternFill patternType="solid">
        <fgColor rgb="FF00B4D8"/>
        <bgColor rgb="FF06D6A0"/>
      </patternFill>
    </fill>
    <fill>
      <patternFill patternType="solid">
        <fgColor rgb="FF06D6A0"/>
        <bgColor rgb="FF00B4D8"/>
      </patternFill>
    </fill>
    <fill>
      <patternFill patternType="solid">
        <fgColor rgb="FF7B5CF6"/>
        <bgColor rgb="FF4F81BD"/>
      </patternFill>
    </fill>
    <fill>
      <patternFill patternType="solid">
        <fgColor rgb="FFFF8C42"/>
        <bgColor rgb="FFE8B84B"/>
      </patternFill>
    </fill>
    <fill>
      <patternFill patternType="solid">
        <fgColor rgb="FF102B4A"/>
        <bgColor rgb="FF122944"/>
      </patternFill>
    </fill>
    <fill>
      <patternFill patternType="solid">
        <fgColor rgb="FF122944"/>
        <bgColor rgb="FF102B4A"/>
      </patternFill>
    </fill>
    <fill>
      <patternFill patternType="solid">
        <fgColor rgb="FF0D2035"/>
        <bgColor rgb="FF0B1F3A"/>
      </patternFill>
    </fill>
    <fill>
      <patternFill patternType="solid">
        <fgColor rgb="FF060F1C"/>
        <bgColor rgb="FF081424"/>
      </patternFill>
    </fill>
    <fill>
      <patternFill patternType="solid">
        <fgColor rgb="FF081424"/>
        <bgColor rgb="FF060F1C"/>
      </patternFill>
    </fill>
    <fill>
      <patternFill patternType="solid">
        <fgColor rgb="FF0A1A30"/>
        <bgColor rgb="FF0B1F3A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8B84B"/>
      </bottom>
      <diagonal/>
    </border>
    <border>
      <left/>
      <right/>
      <top/>
      <bottom style="thin">
        <color rgb="FF1B3A5C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1" fillId="2" borderId="0" xfId="0" applyAlignment="1">
      <alignment vertical="bottom"/>
    </xf>
    <xf numFmtId="0" fontId="2" fillId="2" borderId="0" xfId="0" applyFont="1" applyBorder="1" applyAlignment="1">
      <alignment horizontal="left" vertical="center"/>
    </xf>
    <xf numFmtId="0" fontId="1" fillId="3" borderId="0" xfId="0" applyBorder="1" applyAlignment="1">
      <alignment vertical="bottom"/>
    </xf>
    <xf numFmtId="0" fontId="3" fillId="4" borderId="0" xfId="0" applyFont="1" applyBorder="1" applyAlignment="1">
      <alignment horizontal="left" vertical="center"/>
    </xf>
    <xf numFmtId="0" fontId="1" fillId="5" borderId="0" xfId="0" applyAlignment="1">
      <alignment vertical="bottom"/>
    </xf>
    <xf numFmtId="0" fontId="1" fillId="6" borderId="0" xfId="0" applyAlignment="1">
      <alignment vertical="bottom"/>
    </xf>
    <xf numFmtId="0" fontId="1" fillId="3" borderId="0" xfId="0" applyAlignment="1">
      <alignment vertical="bottom"/>
    </xf>
    <xf numFmtId="0" fontId="1" fillId="7" borderId="0" xfId="0" applyAlignment="1">
      <alignment vertical="bottom"/>
    </xf>
    <xf numFmtId="0" fontId="1" fillId="8" borderId="0" xfId="0" applyAlignment="1">
      <alignment vertical="bottom"/>
    </xf>
    <xf numFmtId="0" fontId="4" fillId="9" borderId="0" xfId="0" applyFont="1" applyBorder="1" applyAlignment="1">
      <alignment horizontal="left" vertical="center"/>
    </xf>
    <xf numFmtId="164" fontId="5" fillId="9" borderId="0" xfId="0" applyFont="1" applyBorder="1" applyAlignment="1">
      <alignment horizontal="left" vertical="center"/>
    </xf>
    <xf numFmtId="164" fontId="6" fillId="9" borderId="0" xfId="0" applyFont="1" applyBorder="1" applyAlignment="1">
      <alignment horizontal="left" vertical="center"/>
    </xf>
    <xf numFmtId="3" fontId="7" fillId="9" borderId="0" xfId="0" applyFont="1" applyBorder="1" applyAlignment="1">
      <alignment horizontal="left" vertical="center"/>
    </xf>
    <xf numFmtId="49" fontId="8" fillId="9" borderId="0" xfId="0" applyFont="1" applyBorder="1" applyAlignment="1">
      <alignment horizontal="left" vertical="center"/>
    </xf>
    <xf numFmtId="49" fontId="9" fillId="9" borderId="0" xfId="0" applyFont="1" applyBorder="1" applyAlignment="1">
      <alignment horizontal="left" vertical="center"/>
    </xf>
    <xf numFmtId="0" fontId="10" fillId="9" borderId="0" xfId="0" applyFont="1" applyBorder="1" applyAlignment="1">
      <alignment horizontal="left" vertical="center"/>
    </xf>
    <xf numFmtId="0" fontId="1" fillId="9" borderId="0" xfId="0" applyAlignment="1">
      <alignment vertical="bottom"/>
    </xf>
    <xf numFmtId="0" fontId="11" fillId="4" borderId="0" xfId="0" applyFont="1" applyBorder="1" applyAlignment="1">
      <alignment horizontal="left" vertical="center"/>
    </xf>
    <xf numFmtId="0" fontId="10" fillId="2" borderId="0" xfId="0" applyFont="1" applyBorder="1" applyAlignment="1">
      <alignment horizontal="left" vertical="center"/>
    </xf>
    <xf numFmtId="0" fontId="12" fillId="2" borderId="0" xfId="0" applyFont="1" applyBorder="1" applyAlignment="1">
      <alignment horizontal="left" vertical="center"/>
    </xf>
    <xf numFmtId="0" fontId="13" fillId="10" borderId="1" xfId="0" applyFont="1" applyBorder="1" applyAlignment="1">
      <alignment horizontal="center" vertical="center"/>
    </xf>
    <xf numFmtId="0" fontId="14" fillId="11" borderId="2" xfId="0" applyFont="1" applyBorder="1" applyAlignment="1">
      <alignment horizontal="center" vertical="center"/>
    </xf>
    <xf numFmtId="3" fontId="14" fillId="11" borderId="2" xfId="0" applyFont="1" applyBorder="1" applyAlignment="1">
      <alignment horizontal="center" vertical="center"/>
    </xf>
    <xf numFmtId="164" fontId="14" fillId="11" borderId="2" xfId="0" applyFont="1" applyBorder="1" applyAlignment="1">
      <alignment horizontal="center" vertical="center"/>
    </xf>
    <xf numFmtId="165" fontId="14" fillId="11" borderId="2" xfId="0" applyFont="1" applyBorder="1" applyAlignment="1">
      <alignment horizontal="center" vertical="center"/>
    </xf>
    <xf numFmtId="0" fontId="14" fillId="10" borderId="2" xfId="0" applyFont="1" applyBorder="1" applyAlignment="1">
      <alignment horizontal="center" vertical="center"/>
    </xf>
    <xf numFmtId="3" fontId="14" fillId="10" borderId="2" xfId="0" applyFont="1" applyBorder="1" applyAlignment="1">
      <alignment horizontal="center" vertical="center"/>
    </xf>
    <xf numFmtId="164" fontId="14" fillId="10" borderId="2" xfId="0" applyFont="1" applyBorder="1" applyAlignment="1">
      <alignment horizontal="center" vertical="center"/>
    </xf>
    <xf numFmtId="165" fontId="14" fillId="10" borderId="2" xfId="0" applyFont="1" applyBorder="1" applyAlignment="1">
      <alignment horizontal="center" vertical="center"/>
    </xf>
    <xf numFmtId="0" fontId="15" fillId="12" borderId="1" xfId="0" applyFont="1" applyBorder="1" applyAlignment="1">
      <alignment horizontal="center" vertical="center"/>
    </xf>
    <xf numFmtId="3" fontId="15" fillId="12" borderId="1" xfId="0" applyFont="1" applyBorder="1" applyAlignment="1">
      <alignment horizontal="center" vertical="center"/>
    </xf>
    <xf numFmtId="164" fontId="15" fillId="12" borderId="1" xfId="0" applyFont="1" applyBorder="1" applyAlignment="1">
      <alignment horizontal="center" vertical="center"/>
    </xf>
    <xf numFmtId="0" fontId="16" fillId="4" borderId="0" xfId="0" applyFont="1" applyBorder="1" applyAlignment="1">
      <alignment horizontal="left" vertical="center"/>
    </xf>
    <xf numFmtId="0" fontId="17" fillId="11" borderId="2" xfId="0" applyFont="1" applyBorder="1" applyAlignment="1">
      <alignment horizontal="center" vertical="center"/>
    </xf>
    <xf numFmtId="0" fontId="17" fillId="10" borderId="2" xfId="0" applyFont="1" applyBorder="1" applyAlignment="1">
      <alignment horizontal="center" vertical="center"/>
    </xf>
    <xf numFmtId="166" fontId="14" fillId="11" borderId="2" xfId="0" applyFont="1" applyBorder="1" applyAlignment="1">
      <alignment horizontal="center" vertical="center"/>
    </xf>
    <xf numFmtId="166" fontId="14" fillId="10" borderId="2" xfId="0" applyFont="1" applyBorder="1" applyAlignment="1">
      <alignment horizontal="center" vertical="center"/>
    </xf>
    <xf numFmtId="166" fontId="15" fillId="12" borderId="1" xfId="0" applyFont="1" applyBorder="1" applyAlignment="1">
      <alignment horizontal="center" vertical="center"/>
    </xf>
    <xf numFmtId="0" fontId="18" fillId="10" borderId="0" xfId="0" applyFont="1" applyBorder="1" applyAlignment="1">
      <alignment horizontal="left" vertical="center"/>
    </xf>
    <xf numFmtId="0" fontId="19" fillId="13" borderId="0" xfId="0" applyFont="1" applyBorder="1" applyAlignment="1">
      <alignment horizontal="left" vertical="center"/>
    </xf>
    <xf numFmtId="0" fontId="19" fillId="14" borderId="0" xfId="0" applyFont="1" applyBorder="1" applyAlignment="1">
      <alignment horizontal="left" vertical="center"/>
    </xf>
    <xf numFmtId="0" fontId="20" fillId="13" borderId="0" xfId="0" applyFont="1" applyBorder="1" applyAlignment="1">
      <alignment horizontal="left" vertical="center"/>
    </xf>
    <xf numFmtId="0" fontId="21" fillId="10" borderId="0" xfId="0" applyFont="1" applyBorder="1" applyAlignment="1">
      <alignment horizontal="left" vertical="center"/>
    </xf>
    <xf numFmtId="0" fontId="22" fillId="10" borderId="0" xfId="0" applyFont="1" applyBorder="1" applyAlignment="1">
      <alignment horizontal="left" vertical="center"/>
    </xf>
    <xf numFmtId="0" fontId="23" fillId="10" borderId="0" xfId="0" applyFont="1" applyBorder="1" applyAlignment="1">
      <alignment horizontal="left" vertical="center"/>
    </xf>
    <xf numFmtId="0" fontId="24" fillId="10" borderId="0" xfId="0" applyFont="1" applyBorder="1" applyAlignment="1">
      <alignment horizontal="left" vertical="center"/>
    </xf>
    <xf numFmtId="0" fontId="25" fillId="10" borderId="0" xfId="0" applyFont="1" applyBorder="1" applyAlignment="1">
      <alignment horizontal="left" vertical="center"/>
    </xf>
    <xf numFmtId="0" fontId="26" fillId="10" borderId="0" xfId="0" applyFont="1" applyBorder="1" applyAlignment="1">
      <alignment horizontal="left" vertical="center"/>
    </xf>
    <xf numFmtId="0" fontId="27" fillId="4" borderId="0" xfId="0" applyFont="1" applyBorder="1" applyAlignment="1">
      <alignment horizontal="left" vertical="center"/>
    </xf>
    <xf numFmtId="0" fontId="13" fillId="10" borderId="0" xfId="0" applyFont="1" applyBorder="1" applyAlignment="1">
      <alignment horizontal="left" vertical="center"/>
    </xf>
    <xf numFmtId="0" fontId="14" fillId="10" borderId="0" xfId="0" applyFont="1" applyBorder="1" applyAlignment="1">
      <alignment horizontal="left" vertical="center"/>
    </xf>
    <xf numFmtId="0" fontId="13" fillId="11" borderId="0" xfId="0" applyFont="1" applyBorder="1" applyAlignment="1">
      <alignment horizontal="left" vertical="center"/>
    </xf>
    <xf numFmtId="0" fontId="14" fillId="11" borderId="0" xfId="0" applyFont="1" applyBorder="1" applyAlignment="1">
      <alignment horizontal="left" vertical="center"/>
    </xf>
    <xf numFmtId="0" fontId="28" fillId="9" borderId="0" xfId="0" applyFont="1" applyBorder="1" applyAlignment="1">
      <alignment horizontal="left" vertical="center"/>
    </xf>
    <xf numFmtId="0" fontId="14" fillId="10" borderId="0" xfId="0" applyFont="1" applyBorder="1" applyAlignment="1">
      <alignment horizontal="left" vertical="center" wrapText="1"/>
    </xf>
    <xf numFmtId="0" fontId="13" fillId="10" borderId="0" xfId="0" applyFont="1" applyAlignment="1">
      <alignment horizontal="center" vertical="center"/>
    </xf>
    <xf numFmtId="0" fontId="29" fillId="10" borderId="0" xfId="0" applyFont="1" applyBorder="1" applyAlignment="1">
      <alignment horizontal="left" vertical="center"/>
    </xf>
    <xf numFmtId="0" fontId="13" fillId="11" borderId="0" xfId="0" applyFont="1" applyAlignment="1">
      <alignment horizontal="center" vertical="center"/>
    </xf>
    <xf numFmtId="0" fontId="29" fillId="11" borderId="0" xfId="0" applyFont="1" applyBorder="1" applyAlignment="1">
      <alignment horizontal="left" vertical="center"/>
    </xf>
    <xf numFmtId="0" fontId="14" fillId="11" borderId="0" xfId="0" applyFont="1" applyBorder="1" applyAlignment="1">
      <alignment horizontal="left" vertical="center" wrapText="1"/>
    </xf>
  </cellXfs>
  <cellStyles count="1">
    <cellStyle name="常规" xfId="0" builtinId="0"/>
  </cellStyles>
  <dxf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A1A30"/>
      <rgbColor rgb="00808000"/>
      <rgbColor rgb="00800080"/>
      <rgbColor rgb="0000B4D8"/>
      <rgbColor rgb="00D9D9D9"/>
      <rgbColor rgb="00878787"/>
      <rgbColor rgb="007B5CF6"/>
      <rgbColor rgb="00993366"/>
      <rgbColor rgb="00FFFFCC"/>
      <rgbColor rgb="00CCFFFF"/>
      <rgbColor rgb="00060F1C"/>
      <rgbColor rgb="00F472B6"/>
      <rgbColor rgb="000066CC"/>
      <rgbColor rgb="00C8DCF0"/>
      <rgbColor rgb="000B1F3A"/>
      <rgbColor rgb="00FF00FF"/>
      <rgbColor rgb="00FFFF00"/>
      <rgbColor rgb="0000FFFF"/>
      <rgbColor rgb="00800080"/>
      <rgbColor rgb="00800000"/>
      <rgbColor rgb="00008080"/>
      <rgbColor rgb="000000FF"/>
      <rgbColor rgb="0000E5FF"/>
      <rgbColor rgb="00CCFFFF"/>
      <rgbColor rgb="00CCFFCC"/>
      <rgbColor rgb="00FFFF99"/>
      <rgbColor rgb="00A8D8FF"/>
      <rgbColor rgb="00FF99CC"/>
      <rgbColor rgb="00CC99FF"/>
      <rgbColor rgb="00F5D27A"/>
      <rgbColor rgb="004895EF"/>
      <rgbColor rgb="0006D6A0"/>
      <rgbColor rgb="0099CC00"/>
      <rgbColor rgb="00E8B84B"/>
      <rgbColor rgb="00FF8C42"/>
      <rgbColor rgb="00FF6600"/>
      <rgbColor rgb="004F81BD"/>
      <rgbColor rgb="006B8CAE"/>
      <rgbColor rgb="00102B4A"/>
      <rgbColor rgb="0000A86B"/>
      <rgbColor rgb="000D2035"/>
      <rgbColor rgb="00122944"/>
      <rgbColor rgb="00993300"/>
      <rgbColor rgb="00993366"/>
      <rgbColor rgb="00081424"/>
      <rgbColor rgb="001B3A5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www.wps.cn/officeDocument/2020/cellImage" Target="cellimages.xml"/><Relationship Id="rId12" Type="http://schemas.openxmlformats.org/officeDocument/2006/relationships/sharedStrings" Target="sharedStrings.xml"/><Relationship Id="rId13" Type="http://schemas.openxmlformats.org/officeDocument/2006/relationships/styles" Target="styles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 Trend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ChartData!B1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B4D8"/>
            </a:solidFill>
            <a:ln w="28080">
              <a:solidFill>
                <a:srgbClr val="00B4D8"/>
              </a:solidFill>
              <a:round/>
            </a:ln>
          </c:spPr>
          <c:marker>
            <c:symbol val="circle"/>
            <c:size val="6"/>
            <c:spPr>
              <a:solidFill>
                <a:srgbClr val="00B4D8"/>
              </a:solidFill>
            </c:spPr>
          </c:marker>
          <c:dLbls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ChartData!$B$2:$B$13</c:f>
              <c:numCache>
                <c:formatCode>General</c:formatCode>
                <c:ptCount val="12"/>
                <c:pt idx="0">
                  <c:v>3850000.0</c:v>
                </c:pt>
                <c:pt idx="1">
                  <c:v>4120000.0</c:v>
                </c:pt>
                <c:pt idx="2">
                  <c:v>5200000.0</c:v>
                </c:pt>
                <c:pt idx="3">
                  <c:v>4650000.0</c:v>
                </c:pt>
                <c:pt idx="4">
                  <c:v>5890000.0</c:v>
                </c:pt>
                <c:pt idx="5">
                  <c:v>6100000.0</c:v>
                </c:pt>
                <c:pt idx="6">
                  <c:v>5750000.0</c:v>
                </c:pt>
                <c:pt idx="7">
                  <c:v>6500000.0</c:v>
                </c:pt>
                <c:pt idx="8">
                  <c:v>7200000.0</c:v>
                </c:pt>
                <c:pt idx="9">
                  <c:v>6800000.0</c:v>
                </c:pt>
                <c:pt idx="10">
                  <c:v>8100000.0</c:v>
                </c:pt>
                <c:pt idx="11">
                  <c:v>9400000.0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smooth val="0"/>
        <c:axId val="76335150"/>
        <c:axId val="948561"/>
      </c:lineChart>
      <c:catAx>
        <c:axId val="763351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948561"/>
        <c:crosses val="autoZero"/>
        <c:auto val="1"/>
        <c:lblAlgn val="ctr"/>
        <c:lblOffset val="100"/>
        <c:noMultiLvlLbl val="0"/>
      </c:catAx>
      <c:valAx>
        <c:axId val="94856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763351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Quarterly Revenue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ChartData!L1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B4D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8B84B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06D6A0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8C4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ChartData!$K$2:$K$5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ChartData!$L$2:$L$5</c:f>
              <c:numCache>
                <c:formatCode>General</c:formatCode>
                <c:ptCount val="4"/>
                <c:pt idx="0">
                  <c:v>1.317E+7</c:v>
                </c:pt>
                <c:pt idx="1">
                  <c:v>1.664E+7</c:v>
                </c:pt>
                <c:pt idx="2">
                  <c:v>1.945E+7</c:v>
                </c:pt>
                <c:pt idx="3">
                  <c:v>2.53E+7</c:v>
                </c:pt>
              </c:numCache>
            </c:numRef>
          </c:val>
        </c:ser>
        <c:gapWidth val="150"/>
        <c:overlap val="0"/>
        <c:axId val="99657016"/>
        <c:axId val="43219228"/>
      </c:barChart>
      <c:catAx>
        <c:axId val="99657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43219228"/>
        <c:crosses val="autoZero"/>
        <c:auto val="1"/>
        <c:lblAlgn val="ctr"/>
        <c:lblOffset val="100"/>
        <c:noMultiLvlLbl val="0"/>
      </c:catAx>
      <c:valAx>
        <c:axId val="43219228"/>
        <c:scaling>
          <c:orientation val="minMax"/>
        </c:scaling>
        <c:delete val="0"/>
        <c:axPos val="l"/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996570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Category — BQ1 Answer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ChartData!F1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B4D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8B84B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06D6A0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8C42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4895EF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F472B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ChartData!$E$2:$E$7</c:f>
              <c:strCache>
                <c:ptCount val="6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  <c:pt idx="3">
                  <c:v>Sports</c:v>
                </c:pt>
                <c:pt idx="4">
                  <c:v>Books</c:v>
                </c:pt>
                <c:pt idx="5">
                  <c:v>Beauty</c:v>
                </c:pt>
              </c:strCache>
            </c:strRef>
          </c:cat>
          <c:val>
            <c:numRef>
              <c:f>ChartData!$F$2:$F$7</c:f>
              <c:numCache>
                <c:formatCode>General</c:formatCode>
                <c:ptCount val="6"/>
                <c:pt idx="0">
                  <c:v>3.82E+7</c:v>
                </c:pt>
                <c:pt idx="1">
                  <c:v>1.45E+7</c:v>
                </c:pt>
                <c:pt idx="2">
                  <c:v>9800000.0</c:v>
                </c:pt>
                <c:pt idx="3">
                  <c:v>6200000.0</c:v>
                </c:pt>
                <c:pt idx="4">
                  <c:v>3100000.0</c:v>
                </c:pt>
                <c:pt idx="5">
                  <c:v>2700000.0</c:v>
                </c:pt>
              </c:numCache>
            </c:numRef>
          </c:val>
        </c:ser>
        <c:gapWidth val="150"/>
        <c:overlap val="0"/>
        <c:axId val="59265606"/>
        <c:axId val="62029524"/>
      </c:barChart>
      <c:catAx>
        <c:axId val="5926560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62029524"/>
        <c:crosses val="autoZero"/>
        <c:auto val="1"/>
        <c:lblAlgn val="ctr"/>
        <c:lblOffset val="100"/>
        <c:noMultiLvlLbl val="0"/>
      </c:catAx>
      <c:valAx>
        <c:axId val="62029524"/>
        <c:scaling>
          <c:orientation val="minMax"/>
        </c:scaling>
        <c:delete val="0"/>
        <c:axPos val="l"/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592656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ChartData!O1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B4D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8B84B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8C42"/>
              </a:solidFill>
              <a:ln w="0">
                <a:noFill/>
              </a:ln>
            </c:spPr>
          </c:dPt>
          <c:dLbls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General" sourceLinked="1"/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ChartData!$N$2:$N$4</c:f>
              <c:strCache>
                <c:ptCount val="3"/>
                <c:pt idx="0">
                  <c:v>Online</c:v>
                </c:pt>
                <c:pt idx="1">
                  <c:v>Retail Store</c:v>
                </c:pt>
                <c:pt idx="2">
                  <c:v>Wholesale</c:v>
                </c:pt>
              </c:strCache>
            </c:strRef>
          </c:cat>
          <c:val>
            <c:numRef>
              <c:f>ChartData!$O$2:$O$4</c:f>
              <c:numCache>
                <c:formatCode>General</c:formatCode>
                <c:ptCount val="3"/>
                <c:pt idx="0">
                  <c:v>4.25E+7</c:v>
                </c:pt>
                <c:pt idx="1">
                  <c:v>2.28E+7</c:v>
                </c:pt>
                <c:pt idx="2">
                  <c:v>9200000.0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Region — BQ2 Answer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ChartData!I1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6D6A0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00B4D8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E8B84B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8C42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7B5CF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ChartData!$H$2:$H$6</c:f>
              <c:strCache>
                <c:ptCount val="5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  <c:pt idx="4">
                  <c:v>Central</c:v>
                </c:pt>
              </c:strCache>
            </c:strRef>
          </c:cat>
          <c:val>
            <c:numRef>
              <c:f>ChartData!$I$2:$I$6</c:f>
              <c:numCache>
                <c:formatCode>General</c:formatCode>
                <c:ptCount val="5"/>
                <c:pt idx="0">
                  <c:v>2.48E+7</c:v>
                </c:pt>
                <c:pt idx="1">
                  <c:v>1.85E+7</c:v>
                </c:pt>
                <c:pt idx="2">
                  <c:v>1.62E+7</c:v>
                </c:pt>
                <c:pt idx="3">
                  <c:v>1.23E+7</c:v>
                </c:pt>
                <c:pt idx="4">
                  <c:v>2700000.0</c:v>
                </c:pt>
              </c:numCache>
            </c:numRef>
          </c:val>
        </c:ser>
        <c:gapWidth val="150"/>
        <c:overlap val="0"/>
        <c:axId val="1802394"/>
        <c:axId val="13307118"/>
      </c:barChart>
      <c:catAx>
        <c:axId val="1802394"/>
        <c:scaling>
          <c:orientation val="minMax"/>
        </c:scaling>
        <c:delete val="0"/>
        <c:axPos val="l"/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13307118"/>
        <c:crosses val="autoZero"/>
        <c:auto val="1"/>
        <c:lblAlgn val="ctr"/>
        <c:lblOffset val="100"/>
        <c:noMultiLvlLbl val="0"/>
      </c:catAx>
      <c:valAx>
        <c:axId val="133071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18023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Orders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ChartData!C1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B4D8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E8B84B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06D6A0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8C42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7B5CF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4895EF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F472B6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00B4D8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E8B84B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06D6A0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FF8C42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7B5CF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ChartData!$C$2:$C$13</c:f>
              <c:numCache>
                <c:formatCode>General</c:formatCode>
                <c:ptCount val="12"/>
                <c:pt idx="0">
                  <c:v>128.0</c:v>
                </c:pt>
                <c:pt idx="1">
                  <c:v>143.0</c:v>
                </c:pt>
                <c:pt idx="2">
                  <c:v>173.0</c:v>
                </c:pt>
                <c:pt idx="3">
                  <c:v>155.0</c:v>
                </c:pt>
                <c:pt idx="4">
                  <c:v>196.0</c:v>
                </c:pt>
                <c:pt idx="5">
                  <c:v>203.0</c:v>
                </c:pt>
                <c:pt idx="6">
                  <c:v>191.0</c:v>
                </c:pt>
                <c:pt idx="7">
                  <c:v>217.0</c:v>
                </c:pt>
                <c:pt idx="8">
                  <c:v>240.0</c:v>
                </c:pt>
                <c:pt idx="9">
                  <c:v>227.0</c:v>
                </c:pt>
                <c:pt idx="10">
                  <c:v>270.0</c:v>
                </c:pt>
                <c:pt idx="11">
                  <c:v>313.0</c:v>
                </c:pt>
              </c:numCache>
            </c:numRef>
          </c:val>
        </c:ser>
        <c:gapWidth val="150"/>
        <c:overlap val="0"/>
        <c:axId val="11678750"/>
        <c:axId val="47539828"/>
      </c:barChart>
      <c:catAx>
        <c:axId val="116787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47539828"/>
        <c:crosses val="autoZero"/>
        <c:auto val="1"/>
        <c:lblAlgn val="ctr"/>
        <c:lblOffset val="100"/>
        <c:noMultiLvlLbl val="0"/>
      </c:catAx>
      <c:valAx>
        <c:axId val="4753982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116787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44</xdr:col>
      <xdr:colOff>263868</xdr:colOff>
      <xdr:row>41</xdr:row>
      <xdr:rowOff>152027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44</xdr:col>
      <xdr:colOff>515435</xdr:colOff>
      <xdr:row>41</xdr:row>
      <xdr:rowOff>152027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44</xdr:col>
      <xdr:colOff>263868</xdr:colOff>
      <xdr:row>64</xdr:row>
      <xdr:rowOff>152027</xdr:rowOff>
    </xdr:to>
    <xdr:graphicFrame macro="">
      <xdr:nvGraphicFramePr>
        <xdr:cNvPr name="图表 3" id="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38</xdr:row>
      <xdr:rowOff>0</xdr:rowOff>
    </xdr:from>
    <xdr:to>
      <xdr:col>44</xdr:col>
      <xdr:colOff>515435</xdr:colOff>
      <xdr:row>64</xdr:row>
      <xdr:rowOff>152027</xdr:rowOff>
    </xdr:to>
    <xdr:graphicFrame macro="">
      <xdr:nvGraphicFramePr>
        <xdr:cNvPr name="图表 4" id="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61</xdr:row>
      <xdr:rowOff>0</xdr:rowOff>
    </xdr:from>
    <xdr:to>
      <xdr:col>44</xdr:col>
      <xdr:colOff>263868</xdr:colOff>
      <xdr:row>87</xdr:row>
      <xdr:rowOff>151804</xdr:rowOff>
    </xdr:to>
    <xdr:graphicFrame macro="">
      <xdr:nvGraphicFramePr>
        <xdr:cNvPr name="图表 5" id="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61</xdr:row>
      <xdr:rowOff>0</xdr:rowOff>
    </xdr:from>
    <xdr:to>
      <xdr:col>44</xdr:col>
      <xdr:colOff>515435</xdr:colOff>
      <xdr:row>87</xdr:row>
      <xdr:rowOff>151804</xdr:rowOff>
    </xdr:to>
    <xdr:graphicFrame macro="">
      <xdr:nvGraphicFramePr>
        <xdr:cNvPr name="图表 6" id="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3"/>
  <sheetViews>
    <sheetView workbookViewId="0">
      <selection activeCell="A1" sqref="A1"/>
    </sheetView>
  </sheetViews>
  <sheetFormatPr defaultRowHeight="15.0" zeroHeight="1"/>
  <sheetData>
    <row r="1" spans="8:8" ht="15.0" customHeight="1">
      <c r="A1" s="1" t="s">
        <v>0</v>
      </c>
      <c r="B1" s="1" t="s">
        <v>1</v>
      </c>
      <c r="C1" s="1" t="s">
        <v>2</v>
      </c>
      <c r="E1" s="1" t="s">
        <v>3</v>
      </c>
      <c r="F1" s="1" t="s">
        <v>1</v>
      </c>
      <c r="H1" s="1" t="s">
        <v>4</v>
      </c>
      <c r="I1" s="1" t="s">
        <v>1</v>
      </c>
      <c r="K1" s="1" t="s">
        <v>5</v>
      </c>
      <c r="L1" s="1" t="s">
        <v>1</v>
      </c>
      <c r="N1" s="1" t="s">
        <v>6</v>
      </c>
      <c r="O1" s="1" t="s">
        <v>1</v>
      </c>
    </row>
    <row r="2" spans="8:8" ht="15.0" customHeight="1">
      <c r="A2" s="1" t="s">
        <v>7</v>
      </c>
      <c r="B2" s="1">
        <v>3850000.0</v>
      </c>
      <c r="C2" s="1">
        <v>128.0</v>
      </c>
      <c r="E2" s="1" t="s">
        <v>8</v>
      </c>
      <c r="F2" s="1">
        <v>3.82E7</v>
      </c>
      <c r="H2" s="1" t="s">
        <v>9</v>
      </c>
      <c r="I2" s="1">
        <v>2.48E7</v>
      </c>
      <c r="K2" s="1" t="s">
        <v>10</v>
      </c>
      <c r="L2" s="1">
        <v>1.317E7</v>
      </c>
      <c r="N2" s="1" t="s">
        <v>11</v>
      </c>
      <c r="O2" s="1">
        <v>4.25E7</v>
      </c>
    </row>
    <row r="3" spans="8:8" ht="15.0" customHeight="1">
      <c r="A3" s="1" t="s">
        <v>12</v>
      </c>
      <c r="B3" s="1">
        <v>4120000.0</v>
      </c>
      <c r="C3" s="1">
        <v>143.0</v>
      </c>
      <c r="E3" s="1" t="s">
        <v>13</v>
      </c>
      <c r="F3" s="1">
        <v>1.45E7</v>
      </c>
      <c r="H3" s="1" t="s">
        <v>14</v>
      </c>
      <c r="I3" s="1">
        <v>1.85E7</v>
      </c>
      <c r="K3" s="1" t="s">
        <v>15</v>
      </c>
      <c r="L3" s="1">
        <v>1.664E7</v>
      </c>
      <c r="N3" s="1" t="s">
        <v>16</v>
      </c>
      <c r="O3" s="1">
        <v>2.28E7</v>
      </c>
    </row>
    <row r="4" spans="8:8" ht="15.0" customHeight="1">
      <c r="A4" s="1" t="s">
        <v>17</v>
      </c>
      <c r="B4" s="1">
        <v>5200000.0</v>
      </c>
      <c r="C4" s="1">
        <v>173.0</v>
      </c>
      <c r="E4" s="1" t="s">
        <v>18</v>
      </c>
      <c r="F4" s="1">
        <v>9800000.0</v>
      </c>
      <c r="H4" s="1" t="s">
        <v>19</v>
      </c>
      <c r="I4" s="1">
        <v>1.62E7</v>
      </c>
      <c r="K4" s="1" t="s">
        <v>20</v>
      </c>
      <c r="L4" s="1">
        <v>1.945E7</v>
      </c>
      <c r="N4" s="1" t="s">
        <v>21</v>
      </c>
      <c r="O4" s="1">
        <v>9200000.0</v>
      </c>
    </row>
    <row r="5" spans="8:8" ht="15.0" customHeight="1">
      <c r="A5" s="1" t="s">
        <v>22</v>
      </c>
      <c r="B5" s="1">
        <v>4650000.0</v>
      </c>
      <c r="C5" s="1">
        <v>155.0</v>
      </c>
      <c r="E5" s="1" t="s">
        <v>23</v>
      </c>
      <c r="F5" s="1">
        <v>6200000.0</v>
      </c>
      <c r="H5" s="1" t="s">
        <v>24</v>
      </c>
      <c r="I5" s="1">
        <v>1.23E7</v>
      </c>
      <c r="K5" s="1" t="s">
        <v>25</v>
      </c>
      <c r="L5" s="1">
        <v>2.53E7</v>
      </c>
    </row>
    <row r="6" spans="8:8" ht="15.0" customHeight="1">
      <c r="A6" s="1" t="s">
        <v>26</v>
      </c>
      <c r="B6" s="1">
        <v>5890000.0</v>
      </c>
      <c r="C6" s="1">
        <v>196.0</v>
      </c>
      <c r="E6" s="1" t="s">
        <v>27</v>
      </c>
      <c r="F6" s="1">
        <v>3100000.0</v>
      </c>
      <c r="H6" s="1" t="s">
        <v>28</v>
      </c>
      <c r="I6" s="1">
        <v>2700000.0</v>
      </c>
    </row>
    <row r="7" spans="8:8" ht="15.0" customHeight="1">
      <c r="A7" s="1" t="s">
        <v>29</v>
      </c>
      <c r="B7" s="1">
        <v>6100000.0</v>
      </c>
      <c r="C7" s="1">
        <v>203.0</v>
      </c>
      <c r="E7" s="1" t="s">
        <v>30</v>
      </c>
      <c r="F7" s="1">
        <v>2700000.0</v>
      </c>
    </row>
    <row r="8" spans="8:8" ht="15.0" customHeight="1">
      <c r="A8" s="1" t="s">
        <v>31</v>
      </c>
      <c r="B8" s="1">
        <v>5750000.0</v>
      </c>
      <c r="C8" s="1">
        <v>191.0</v>
      </c>
    </row>
    <row r="9" spans="8:8" ht="15.0" customHeight="1">
      <c r="A9" s="1" t="s">
        <v>32</v>
      </c>
      <c r="B9" s="1">
        <v>6500000.0</v>
      </c>
      <c r="C9" s="1">
        <v>217.0</v>
      </c>
    </row>
    <row r="10" spans="8:8" ht="15.0" customHeight="1">
      <c r="A10" s="1" t="s">
        <v>33</v>
      </c>
      <c r="B10" s="1">
        <v>7200000.0</v>
      </c>
      <c r="C10" s="1">
        <v>240.0</v>
      </c>
    </row>
    <row r="11" spans="8:8" ht="15.0" customHeight="1">
      <c r="A11" s="1" t="s">
        <v>34</v>
      </c>
      <c r="B11" s="1">
        <v>6800000.0</v>
      </c>
      <c r="C11" s="1">
        <v>227.0</v>
      </c>
    </row>
    <row r="12" spans="8:8" ht="15.0" customHeight="1">
      <c r="A12" s="1" t="s">
        <v>35</v>
      </c>
      <c r="B12" s="1">
        <v>8100000.0</v>
      </c>
      <c r="C12" s="1">
        <v>270.0</v>
      </c>
    </row>
    <row r="13" spans="8:8" ht="15.0" customHeight="1">
      <c r="A13" s="1" t="s">
        <v>36</v>
      </c>
      <c r="B13" s="1">
        <v>9400000.0</v>
      </c>
      <c r="C13" s="1">
        <v>313.0</v>
      </c>
    </row>
  </sheetData>
  <pageMargins left="0.75" right="0.75" top="1.0" bottom="1.0" header="0.511811023622047" footer="0.511811023622047"/>
  <pageSetup paperSize="9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E8B84B"/>
  </sheetPr>
  <dimension ref="A1:AF84"/>
  <sheetViews>
    <sheetView workbookViewId="0" showGridLines="0" zoomScale="30">
      <selection activeCell="AJ8" sqref="AJ8"/>
    </sheetView>
  </sheetViews>
  <sheetFormatPr defaultRowHeight="15.0" zeroHeight="1"/>
  <cols>
    <col min="1" max="1" customWidth="1" width="0.796875" style="1"/>
    <col min="2" max="3" customWidth="1" width="3.6992188" style="1"/>
    <col min="4" max="4" customWidth="1" width="8.996094" style="1"/>
    <col min="5" max="9" customWidth="1" width="3.6992188" style="1"/>
    <col min="10" max="10" customWidth="1" width="12.714844" style="1"/>
    <col min="11" max="30" customWidth="1" width="3.6992188" style="1"/>
    <col min="31" max="31" customWidth="1" width="0.796875" style="1"/>
  </cols>
  <sheetData>
    <row r="1" spans="8:8" ht="6.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8:8" ht="42.0" customHeight="1">
      <c r="A2" s="3" t="s">
        <v>37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8:8" ht="3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8:8" ht="7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8:8" ht="18.0" customHeight="1">
      <c r="A5" s="2"/>
      <c r="B5" s="5" t="s">
        <v>38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spans="8:8" ht="6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8:8" ht="3.75" customHeight="1">
      <c r="A7" s="2"/>
      <c r="B7" s="6"/>
      <c r="C7" s="6"/>
      <c r="D7" s="6"/>
      <c r="E7" s="6"/>
      <c r="F7" s="2"/>
      <c r="G7" s="2"/>
      <c r="H7" s="7"/>
      <c r="I7" s="7"/>
      <c r="J7" s="7"/>
      <c r="K7" s="7"/>
      <c r="L7" s="2"/>
      <c r="M7" s="2"/>
      <c r="N7" s="8"/>
      <c r="O7" s="8"/>
      <c r="P7" s="8"/>
      <c r="Q7" s="8"/>
      <c r="R7" s="2"/>
      <c r="S7" s="2"/>
      <c r="T7" s="9"/>
      <c r="U7" s="9"/>
      <c r="V7" s="9"/>
      <c r="W7" s="9"/>
      <c r="X7" s="2"/>
      <c r="Y7" s="2"/>
      <c r="Z7" s="10"/>
      <c r="AA7" s="10"/>
      <c r="AB7" s="10"/>
      <c r="AC7" s="10"/>
      <c r="AD7" s="2"/>
      <c r="AE7" s="2"/>
    </row>
    <row r="8" spans="8:8" ht="15.0" customHeight="1">
      <c r="A8" s="2"/>
      <c r="B8" s="11" t="s">
        <v>39</v>
      </c>
      <c r="C8" s="11"/>
      <c r="D8" s="11"/>
      <c r="E8" s="11"/>
      <c r="F8" s="2"/>
      <c r="G8" s="2"/>
      <c r="H8" s="11" t="s">
        <v>40</v>
      </c>
      <c r="I8" s="11"/>
      <c r="J8" s="11"/>
      <c r="K8" s="11"/>
      <c r="L8" s="2"/>
      <c r="M8" s="2"/>
      <c r="N8" s="11" t="s">
        <v>41</v>
      </c>
      <c r="O8" s="11"/>
      <c r="P8" s="11"/>
      <c r="Q8" s="11"/>
      <c r="R8" s="2"/>
      <c r="S8" s="2"/>
      <c r="T8" s="11" t="s">
        <v>42</v>
      </c>
      <c r="U8" s="11"/>
      <c r="V8" s="11"/>
      <c r="W8" s="11"/>
      <c r="X8" s="2"/>
      <c r="Y8" s="2"/>
      <c r="Z8" s="11" t="s">
        <v>43</v>
      </c>
      <c r="AA8" s="11"/>
      <c r="AB8" s="11"/>
      <c r="AC8" s="11"/>
      <c r="AD8" s="2"/>
      <c r="AE8" s="2"/>
    </row>
    <row r="9" spans="8:8" ht="15.75" customHeight="1">
      <c r="A9" s="2"/>
      <c r="B9" s="12">
        <f>SUM('🛒 E-Commerce Dataset'!L:L)</f>
        <v>1.07226E7</v>
      </c>
      <c r="C9" s="12"/>
      <c r="D9" s="12"/>
      <c r="E9" s="12"/>
      <c r="F9" s="2"/>
      <c r="G9" s="2"/>
      <c r="H9" s="13">
        <f>SUM('🛒 E-Commerce Dataset'!N:N)</f>
        <v>9742260.0</v>
      </c>
      <c r="I9" s="13"/>
      <c r="J9" s="13"/>
      <c r="K9" s="13"/>
      <c r="L9" s="2"/>
      <c r="M9" s="2"/>
      <c r="N9" s="14">
        <f>COUNTA('🛒 E-Commerce Dataset'!A3:A62)</f>
        <v>60.0</v>
      </c>
      <c r="O9" s="14"/>
      <c r="P9" s="14"/>
      <c r="Q9" s="14"/>
      <c r="R9" s="2"/>
      <c r="S9" s="2"/>
      <c r="T9" s="15" t="str">
        <f>INDEX('🏆 Product Analysis'!A5:A10,MATCH(MIN('🏆 Product Analysis'!H5:H10),'🏆 Product Analysis'!H5:H10,0))</f>
        <v>Electronics</v>
      </c>
      <c r="U9" s="15"/>
      <c r="V9" s="15"/>
      <c r="W9" s="15"/>
      <c r="X9" s="2"/>
      <c r="Y9" s="2"/>
      <c r="Z9" s="16" t="str">
        <f>INDEX('🌍 Regional Analysis'!A5:A9,MATCH(MIN('🌍 Regional Analysis'!H5:H9),'🌍 Regional Analysis'!H5:H9,0))</f>
        <v>South</v>
      </c>
      <c r="AA9" s="16"/>
      <c r="AB9" s="16"/>
      <c r="AC9" s="16"/>
      <c r="AD9" s="2"/>
      <c r="AE9" s="2"/>
    </row>
    <row r="10" spans="8:8" ht="15.75" customHeight="1">
      <c r="A10" s="2"/>
      <c r="B10" s="12"/>
      <c r="C10" s="12"/>
      <c r="D10" s="12"/>
      <c r="E10" s="12"/>
      <c r="F10" s="2"/>
      <c r="G10" s="2"/>
      <c r="H10" s="13"/>
      <c r="I10" s="13"/>
      <c r="J10" s="13"/>
      <c r="K10" s="13"/>
      <c r="L10" s="2"/>
      <c r="M10" s="2"/>
      <c r="N10" s="14"/>
      <c r="O10" s="14"/>
      <c r="P10" s="14"/>
      <c r="Q10" s="14"/>
      <c r="R10" s="2"/>
      <c r="S10" s="2"/>
      <c r="T10" s="15"/>
      <c r="U10" s="15"/>
      <c r="V10" s="15"/>
      <c r="W10" s="15"/>
      <c r="X10" s="2"/>
      <c r="Y10" s="2"/>
      <c r="Z10" s="16"/>
      <c r="AA10" s="16"/>
      <c r="AB10" s="16"/>
      <c r="AC10" s="16"/>
      <c r="AD10" s="2"/>
      <c r="AE10" s="2"/>
    </row>
    <row r="11" spans="8:8" ht="15.75" customHeight="1">
      <c r="A11" s="2"/>
      <c r="B11" s="12"/>
      <c r="C11" s="12"/>
      <c r="D11" s="12"/>
      <c r="E11" s="12"/>
      <c r="F11" s="2"/>
      <c r="G11" s="2"/>
      <c r="H11" s="13"/>
      <c r="I11" s="13"/>
      <c r="J11" s="13"/>
      <c r="K11" s="13"/>
      <c r="L11" s="2"/>
      <c r="M11" s="2"/>
      <c r="N11" s="14"/>
      <c r="O11" s="14"/>
      <c r="P11" s="14"/>
      <c r="Q11" s="14"/>
      <c r="R11" s="2"/>
      <c r="S11" s="2"/>
      <c r="T11" s="15"/>
      <c r="U11" s="15"/>
      <c r="V11" s="15"/>
      <c r="W11" s="15"/>
      <c r="X11" s="2"/>
      <c r="Y11" s="2"/>
      <c r="Z11" s="16"/>
      <c r="AA11" s="16"/>
      <c r="AB11" s="16"/>
      <c r="AC11" s="16"/>
      <c r="AD11" s="2"/>
      <c r="AE11" s="2"/>
    </row>
    <row r="12" spans="8:8" ht="13.5" customHeight="1">
      <c r="A12" s="2"/>
      <c r="B12" s="17" t="s">
        <v>44</v>
      </c>
      <c r="C12" s="17"/>
      <c r="D12" s="17"/>
      <c r="E12" s="17"/>
      <c r="F12" s="2"/>
      <c r="G12" s="2"/>
      <c r="H12" s="17" t="s">
        <v>45</v>
      </c>
      <c r="I12" s="17"/>
      <c r="J12" s="17"/>
      <c r="K12" s="17"/>
      <c r="L12" s="2"/>
      <c r="M12" s="2"/>
      <c r="N12" s="17" t="s">
        <v>46</v>
      </c>
      <c r="O12" s="17"/>
      <c r="P12" s="17"/>
      <c r="Q12" s="17"/>
      <c r="R12" s="2"/>
      <c r="S12" s="2"/>
      <c r="T12" s="17" t="s">
        <v>47</v>
      </c>
      <c r="U12" s="17"/>
      <c r="V12" s="17"/>
      <c r="W12" s="17"/>
      <c r="X12" s="2"/>
      <c r="Y12" s="2"/>
      <c r="Z12" s="17" t="s">
        <v>48</v>
      </c>
      <c r="AA12" s="17"/>
      <c r="AB12" s="17"/>
      <c r="AC12" s="17"/>
      <c r="AD12" s="2"/>
      <c r="AE12" s="2"/>
    </row>
    <row r="13" spans="8:8" ht="6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8:8" ht="13.5" customHeight="1">
      <c r="A14" s="2"/>
      <c r="B14" s="18"/>
      <c r="C14" s="18"/>
      <c r="D14" s="18"/>
      <c r="E14" s="18"/>
      <c r="F14" s="2"/>
      <c r="G14" s="2"/>
      <c r="H14" s="18"/>
      <c r="I14" s="18"/>
      <c r="J14" s="18"/>
      <c r="K14" s="18"/>
      <c r="L14" s="2"/>
      <c r="M14" s="2"/>
      <c r="N14" s="18"/>
      <c r="O14" s="18"/>
      <c r="P14" s="18"/>
      <c r="Q14" s="18"/>
      <c r="R14" s="2"/>
      <c r="S14" s="2"/>
      <c r="T14" s="18"/>
      <c r="U14" s="18"/>
      <c r="V14" s="18"/>
      <c r="W14" s="18"/>
      <c r="X14" s="2"/>
      <c r="Y14" s="2"/>
      <c r="Z14" s="18"/>
      <c r="AA14" s="18"/>
      <c r="AB14" s="18"/>
      <c r="AC14" s="18"/>
      <c r="AD14" s="2"/>
      <c r="AE14" s="2"/>
    </row>
    <row r="15" spans="8:8" ht="18.0" customHeight="1">
      <c r="A15" s="2"/>
      <c r="B15" s="19" t="s">
        <v>49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</row>
    <row r="16" spans="8:8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8:8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8: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8:8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8:8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8:8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8:8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8:8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8:8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8:8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8:8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8:8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8: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8:8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8:8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8:8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8:8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8:8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8:8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8:8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8:8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8:8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8:8" ht="18.0" customHeight="1">
      <c r="A38" s="2"/>
      <c r="B38" s="19" t="s">
        <v>50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</row>
    <row r="39" spans="8:8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8:8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8:8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8:8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8:8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8:8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8:8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8:8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8:8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8: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8:8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8:8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8:8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8:8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8:8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8:8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8:8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8:8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8:8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8: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8:8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8:8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8:8" ht="18.0" customHeight="1">
      <c r="A61" s="2"/>
      <c r="B61" s="19" t="s">
        <v>51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</row>
    <row r="62" spans="8:8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8:8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8:8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8:8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8:8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8:8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8: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8:8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8:8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8:8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8:8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8:8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8:8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8:8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8:8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8:8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8: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8:8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8:8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8:8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8:8" ht="13.5" customHeight="1">
      <c r="A82" s="20" t="s">
        <v>52</v>
      </c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</row>
    <row r="83" spans="8:8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8:8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</sheetData>
  <mergeCells count="22">
    <mergeCell ref="A2:AE2"/>
    <mergeCell ref="A3:AE3"/>
    <mergeCell ref="B5:AE5"/>
    <mergeCell ref="Z8:AC8"/>
    <mergeCell ref="B61:AE61"/>
    <mergeCell ref="B38:AE38"/>
    <mergeCell ref="B15:AE15"/>
    <mergeCell ref="Z12:AC12"/>
    <mergeCell ref="Z9:AC11"/>
    <mergeCell ref="H9:K11"/>
    <mergeCell ref="T8:W8"/>
    <mergeCell ref="B9:E11"/>
    <mergeCell ref="N12:Q12"/>
    <mergeCell ref="N8:Q8"/>
    <mergeCell ref="T12:W12"/>
    <mergeCell ref="B12:E12"/>
    <mergeCell ref="T9:W11"/>
    <mergeCell ref="H8:K8"/>
    <mergeCell ref="H12:K12"/>
    <mergeCell ref="N9:Q11"/>
    <mergeCell ref="A82:AE82"/>
    <mergeCell ref="B8:E8"/>
  </mergeCells>
  <pageMargins left="0.75" right="0.75" top="1.0" bottom="1.0" header="0.511811023622047" footer="0.511811023622047"/>
  <pageSetup paperSize="9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00B4D8"/>
  </sheetPr>
  <dimension ref="A1:O63"/>
  <sheetViews>
    <sheetView workbookViewId="0">
      <pane ySplit="2" topLeftCell="A3" state="frozen" activePane="bottomLeft"/>
      <selection pane="bottomLeft" activeCell="A1" sqref="A1:N1"/>
    </sheetView>
  </sheetViews>
  <sheetFormatPr defaultRowHeight="15.0" zeroHeight="1"/>
  <cols>
    <col min="1" max="1" customWidth="1" width="11.0" style="1"/>
    <col min="2" max="2" customWidth="1" width="13.0" style="1"/>
    <col min="3" max="3" customWidth="1" width="11.0" style="1"/>
    <col min="4" max="4" customWidth="1" width="9.0" style="1"/>
    <col min="5" max="5" customWidth="1" width="12.0" style="1"/>
    <col min="6" max="6" customWidth="1" width="10.0" style="1"/>
    <col min="7" max="7" customWidth="1" width="14.0" style="1"/>
    <col min="8" max="8" customWidth="1" width="16.0" style="1"/>
    <col min="9" max="9" customWidth="1" width="18.0" style="1"/>
    <col min="10" max="10" customWidth="1" width="8.0" style="1"/>
    <col min="11" max="12" customWidth="1" width="14.0" style="1"/>
    <col min="13" max="13" customWidth="1" width="10.0" style="1"/>
    <col min="14" max="14" customWidth="1" width="14.0" style="1"/>
  </cols>
  <sheetData>
    <row r="1" spans="8:8" ht="33.75" customHeight="1">
      <c r="A1" s="21" t="s">
        <v>53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8:8" ht="21.75" customHeight="1">
      <c r="A2" s="22" t="s">
        <v>54</v>
      </c>
      <c r="B2" s="22" t="s">
        <v>55</v>
      </c>
      <c r="C2" s="22" t="s">
        <v>0</v>
      </c>
      <c r="D2" s="22" t="s">
        <v>5</v>
      </c>
      <c r="E2" s="22" t="s">
        <v>56</v>
      </c>
      <c r="F2" s="22" t="s">
        <v>4</v>
      </c>
      <c r="G2" s="22" t="s">
        <v>6</v>
      </c>
      <c r="H2" s="22" t="s">
        <v>3</v>
      </c>
      <c r="I2" s="22" t="s">
        <v>57</v>
      </c>
      <c r="J2" s="22" t="s">
        <v>58</v>
      </c>
      <c r="K2" s="22" t="s">
        <v>59</v>
      </c>
      <c r="L2" s="22" t="s">
        <v>60</v>
      </c>
      <c r="M2" s="22" t="s">
        <v>61</v>
      </c>
      <c r="N2" s="22" t="s">
        <v>62</v>
      </c>
    </row>
    <row r="3" spans="8:8" ht="16.5" customHeight="1">
      <c r="A3" s="23" t="s">
        <v>63</v>
      </c>
      <c r="B3" s="23" t="s">
        <v>64</v>
      </c>
      <c r="C3" s="23" t="s">
        <v>65</v>
      </c>
      <c r="D3" s="23" t="s">
        <v>10</v>
      </c>
      <c r="E3" s="23" t="s">
        <v>66</v>
      </c>
      <c r="F3" s="23" t="s">
        <v>9</v>
      </c>
      <c r="G3" s="23" t="s">
        <v>11</v>
      </c>
      <c r="H3" s="23" t="s">
        <v>8</v>
      </c>
      <c r="I3" s="23" t="s">
        <v>67</v>
      </c>
      <c r="J3" s="24">
        <v>2.0</v>
      </c>
      <c r="K3" s="25">
        <v>58000.0</v>
      </c>
      <c r="L3" s="25">
        <f>J3*K3</f>
        <v>116000.0</v>
      </c>
      <c r="M3" s="26">
        <v>5.0</v>
      </c>
      <c r="N3" s="25">
        <f>L3*(1-M3/100)</f>
        <v>110200.0</v>
      </c>
    </row>
    <row r="4" spans="8:8" ht="16.5" customHeight="1">
      <c r="A4" s="27" t="s">
        <v>68</v>
      </c>
      <c r="B4" s="27" t="s">
        <v>69</v>
      </c>
      <c r="C4" s="27" t="s">
        <v>65</v>
      </c>
      <c r="D4" s="27" t="s">
        <v>10</v>
      </c>
      <c r="E4" s="27" t="s">
        <v>70</v>
      </c>
      <c r="F4" s="27" t="s">
        <v>14</v>
      </c>
      <c r="G4" s="27" t="s">
        <v>16</v>
      </c>
      <c r="H4" s="27" t="s">
        <v>13</v>
      </c>
      <c r="I4" s="27" t="s">
        <v>71</v>
      </c>
      <c r="J4" s="28">
        <v>5.0</v>
      </c>
      <c r="K4" s="29">
        <v>4500.0</v>
      </c>
      <c r="L4" s="29">
        <f>J4*K4</f>
        <v>22500.0</v>
      </c>
      <c r="M4" s="30">
        <v>10.0</v>
      </c>
      <c r="N4" s="29">
        <f>L4*(1-M4/100)</f>
        <v>20250.0</v>
      </c>
    </row>
    <row r="5" spans="8:8" ht="16.5" customHeight="1">
      <c r="A5" s="23" t="s">
        <v>72</v>
      </c>
      <c r="B5" s="23" t="s">
        <v>73</v>
      </c>
      <c r="C5" s="23" t="s">
        <v>65</v>
      </c>
      <c r="D5" s="23" t="s">
        <v>10</v>
      </c>
      <c r="E5" s="23" t="s">
        <v>74</v>
      </c>
      <c r="F5" s="23" t="s">
        <v>24</v>
      </c>
      <c r="G5" s="23" t="s">
        <v>11</v>
      </c>
      <c r="H5" s="23" t="s">
        <v>18</v>
      </c>
      <c r="I5" s="23" t="s">
        <v>75</v>
      </c>
      <c r="J5" s="24">
        <v>3.0</v>
      </c>
      <c r="K5" s="25">
        <v>8500.0</v>
      </c>
      <c r="L5" s="25">
        <f>J5*K5</f>
        <v>25500.0</v>
      </c>
      <c r="M5" s="26">
        <v>8.0</v>
      </c>
      <c r="N5" s="25">
        <f>L5*(1-M5/100)</f>
        <v>23460.0</v>
      </c>
    </row>
    <row r="6" spans="8:8" ht="16.5" customHeight="1">
      <c r="A6" s="27" t="s">
        <v>76</v>
      </c>
      <c r="B6" s="27" t="s">
        <v>77</v>
      </c>
      <c r="C6" s="27" t="s">
        <v>65</v>
      </c>
      <c r="D6" s="27" t="s">
        <v>10</v>
      </c>
      <c r="E6" s="27" t="s">
        <v>78</v>
      </c>
      <c r="F6" s="27" t="s">
        <v>19</v>
      </c>
      <c r="G6" s="27" t="s">
        <v>11</v>
      </c>
      <c r="H6" s="27" t="s">
        <v>8</v>
      </c>
      <c r="I6" s="27" t="s">
        <v>79</v>
      </c>
      <c r="J6" s="28">
        <v>4.0</v>
      </c>
      <c r="K6" s="29">
        <v>22000.0</v>
      </c>
      <c r="L6" s="29">
        <f>J6*K6</f>
        <v>88000.0</v>
      </c>
      <c r="M6" s="30">
        <v>5.0</v>
      </c>
      <c r="N6" s="29">
        <f>L6*(1-M6/100)</f>
        <v>83600.0</v>
      </c>
    </row>
    <row r="7" spans="8:8" ht="16.5" customHeight="1">
      <c r="A7" s="23" t="s">
        <v>80</v>
      </c>
      <c r="B7" s="23" t="s">
        <v>81</v>
      </c>
      <c r="C7" s="23" t="s">
        <v>65</v>
      </c>
      <c r="D7" s="23" t="s">
        <v>10</v>
      </c>
      <c r="E7" s="23" t="s">
        <v>82</v>
      </c>
      <c r="F7" s="23" t="s">
        <v>9</v>
      </c>
      <c r="G7" s="23" t="s">
        <v>21</v>
      </c>
      <c r="H7" s="23" t="s">
        <v>23</v>
      </c>
      <c r="I7" s="23" t="s">
        <v>83</v>
      </c>
      <c r="J7" s="24">
        <v>20.0</v>
      </c>
      <c r="K7" s="25">
        <v>1200.0</v>
      </c>
      <c r="L7" s="25">
        <f>J7*K7</f>
        <v>24000.0</v>
      </c>
      <c r="M7" s="26">
        <v>15.0</v>
      </c>
      <c r="N7" s="25">
        <f>L7*(1-M7/100)</f>
        <v>20400.0</v>
      </c>
    </row>
    <row r="8" spans="8:8" ht="16.5" customHeight="1">
      <c r="A8" s="27" t="s">
        <v>84</v>
      </c>
      <c r="B8" s="27" t="s">
        <v>85</v>
      </c>
      <c r="C8" s="27" t="s">
        <v>86</v>
      </c>
      <c r="D8" s="27" t="s">
        <v>10</v>
      </c>
      <c r="E8" s="27" t="s">
        <v>87</v>
      </c>
      <c r="F8" s="27" t="s">
        <v>14</v>
      </c>
      <c r="G8" s="27" t="s">
        <v>11</v>
      </c>
      <c r="H8" s="27" t="s">
        <v>30</v>
      </c>
      <c r="I8" s="27" t="s">
        <v>88</v>
      </c>
      <c r="J8" s="28">
        <v>8.0</v>
      </c>
      <c r="K8" s="29">
        <v>3500.0</v>
      </c>
      <c r="L8" s="29">
        <f>J8*K8</f>
        <v>28000.0</v>
      </c>
      <c r="M8" s="30">
        <v>12.0</v>
      </c>
      <c r="N8" s="29">
        <f>L8*(1-M8/100)</f>
        <v>24640.0</v>
      </c>
    </row>
    <row r="9" spans="8:8" ht="16.5" customHeight="1">
      <c r="A9" s="23" t="s">
        <v>89</v>
      </c>
      <c r="B9" s="23" t="s">
        <v>90</v>
      </c>
      <c r="C9" s="23" t="s">
        <v>86</v>
      </c>
      <c r="D9" s="23" t="s">
        <v>10</v>
      </c>
      <c r="E9" s="23" t="s">
        <v>91</v>
      </c>
      <c r="F9" s="23" t="s">
        <v>28</v>
      </c>
      <c r="G9" s="23" t="s">
        <v>16</v>
      </c>
      <c r="H9" s="23" t="s">
        <v>27</v>
      </c>
      <c r="I9" s="23" t="s">
        <v>92</v>
      </c>
      <c r="J9" s="24">
        <v>15.0</v>
      </c>
      <c r="K9" s="25">
        <v>650.0</v>
      </c>
      <c r="L9" s="25">
        <f>J9*K9</f>
        <v>9750.0</v>
      </c>
      <c r="M9" s="26">
        <v>0.0</v>
      </c>
      <c r="N9" s="25">
        <f>L9*(1-M9/100)</f>
        <v>9750.0</v>
      </c>
    </row>
    <row r="10" spans="8:8" ht="16.5" customHeight="1">
      <c r="A10" s="27" t="s">
        <v>93</v>
      </c>
      <c r="B10" s="27" t="s">
        <v>94</v>
      </c>
      <c r="C10" s="27" t="s">
        <v>86</v>
      </c>
      <c r="D10" s="27" t="s">
        <v>10</v>
      </c>
      <c r="E10" s="27" t="s">
        <v>95</v>
      </c>
      <c r="F10" s="27" t="s">
        <v>24</v>
      </c>
      <c r="G10" s="27" t="s">
        <v>11</v>
      </c>
      <c r="H10" s="27" t="s">
        <v>13</v>
      </c>
      <c r="I10" s="27" t="s">
        <v>96</v>
      </c>
      <c r="J10" s="28">
        <v>6.0</v>
      </c>
      <c r="K10" s="29">
        <v>2800.0</v>
      </c>
      <c r="L10" s="29">
        <f>J10*K10</f>
        <v>16800.0</v>
      </c>
      <c r="M10" s="30">
        <v>20.0</v>
      </c>
      <c r="N10" s="29">
        <f>L10*(1-M10/100)</f>
        <v>13440.0</v>
      </c>
    </row>
    <row r="11" spans="8:8" ht="16.5" customHeight="1">
      <c r="A11" s="23" t="s">
        <v>97</v>
      </c>
      <c r="B11" s="23" t="s">
        <v>98</v>
      </c>
      <c r="C11" s="23" t="s">
        <v>86</v>
      </c>
      <c r="D11" s="23" t="s">
        <v>10</v>
      </c>
      <c r="E11" s="23" t="s">
        <v>99</v>
      </c>
      <c r="F11" s="23" t="s">
        <v>9</v>
      </c>
      <c r="G11" s="23" t="s">
        <v>11</v>
      </c>
      <c r="H11" s="23" t="s">
        <v>8</v>
      </c>
      <c r="I11" s="23" t="s">
        <v>100</v>
      </c>
      <c r="J11" s="24">
        <v>10.0</v>
      </c>
      <c r="K11" s="25">
        <v>18000.0</v>
      </c>
      <c r="L11" s="25">
        <f>J11*K11</f>
        <v>180000.0</v>
      </c>
      <c r="M11" s="26">
        <v>5.0</v>
      </c>
      <c r="N11" s="25">
        <f>L11*(1-M11/100)</f>
        <v>171000.0</v>
      </c>
    </row>
    <row r="12" spans="8:8" ht="16.5" customHeight="1">
      <c r="A12" s="27" t="s">
        <v>101</v>
      </c>
      <c r="B12" s="27" t="s">
        <v>102</v>
      </c>
      <c r="C12" s="27" t="s">
        <v>86</v>
      </c>
      <c r="D12" s="27" t="s">
        <v>10</v>
      </c>
      <c r="E12" s="27" t="s">
        <v>103</v>
      </c>
      <c r="F12" s="27" t="s">
        <v>19</v>
      </c>
      <c r="G12" s="27" t="s">
        <v>21</v>
      </c>
      <c r="H12" s="27" t="s">
        <v>18</v>
      </c>
      <c r="I12" s="27" t="s">
        <v>104</v>
      </c>
      <c r="J12" s="28">
        <v>12.0</v>
      </c>
      <c r="K12" s="29">
        <v>4200.0</v>
      </c>
      <c r="L12" s="29">
        <f>J12*K12</f>
        <v>50400.0</v>
      </c>
      <c r="M12" s="30">
        <v>8.0</v>
      </c>
      <c r="N12" s="29">
        <f>L12*(1-M12/100)</f>
        <v>46368.0</v>
      </c>
    </row>
    <row r="13" spans="8:8" ht="16.5" customHeight="1">
      <c r="A13" s="23" t="s">
        <v>105</v>
      </c>
      <c r="B13" s="23" t="s">
        <v>106</v>
      </c>
      <c r="C13" s="23" t="s">
        <v>107</v>
      </c>
      <c r="D13" s="23" t="s">
        <v>10</v>
      </c>
      <c r="E13" s="23" t="s">
        <v>108</v>
      </c>
      <c r="F13" s="23" t="s">
        <v>14</v>
      </c>
      <c r="G13" s="23" t="s">
        <v>11</v>
      </c>
      <c r="H13" s="23" t="s">
        <v>23</v>
      </c>
      <c r="I13" s="23" t="s">
        <v>109</v>
      </c>
      <c r="J13" s="24">
        <v>7.0</v>
      </c>
      <c r="K13" s="25">
        <v>3500.0</v>
      </c>
      <c r="L13" s="25">
        <f>J13*K13</f>
        <v>24500.0</v>
      </c>
      <c r="M13" s="26">
        <v>10.0</v>
      </c>
      <c r="N13" s="25">
        <f>L13*(1-M13/100)</f>
        <v>22050.0</v>
      </c>
    </row>
    <row r="14" spans="8:8" ht="16.5" customHeight="1">
      <c r="A14" s="27" t="s">
        <v>110</v>
      </c>
      <c r="B14" s="27" t="s">
        <v>111</v>
      </c>
      <c r="C14" s="27" t="s">
        <v>107</v>
      </c>
      <c r="D14" s="27" t="s">
        <v>10</v>
      </c>
      <c r="E14" s="27" t="s">
        <v>112</v>
      </c>
      <c r="F14" s="27" t="s">
        <v>9</v>
      </c>
      <c r="G14" s="27" t="s">
        <v>16</v>
      </c>
      <c r="H14" s="27" t="s">
        <v>8</v>
      </c>
      <c r="I14" s="27" t="s">
        <v>113</v>
      </c>
      <c r="J14" s="28">
        <v>5.0</v>
      </c>
      <c r="K14" s="29">
        <v>32000.0</v>
      </c>
      <c r="L14" s="29">
        <f>J14*K14</f>
        <v>160000.0</v>
      </c>
      <c r="M14" s="30">
        <v>5.0</v>
      </c>
      <c r="N14" s="29">
        <f>L14*(1-M14/100)</f>
        <v>152000.0</v>
      </c>
    </row>
    <row r="15" spans="8:8" ht="16.5" customHeight="1">
      <c r="A15" s="23" t="s">
        <v>114</v>
      </c>
      <c r="B15" s="23" t="s">
        <v>115</v>
      </c>
      <c r="C15" s="23" t="s">
        <v>107</v>
      </c>
      <c r="D15" s="23" t="s">
        <v>10</v>
      </c>
      <c r="E15" s="23" t="s">
        <v>87</v>
      </c>
      <c r="F15" s="23" t="s">
        <v>24</v>
      </c>
      <c r="G15" s="23" t="s">
        <v>11</v>
      </c>
      <c r="H15" s="23" t="s">
        <v>30</v>
      </c>
      <c r="I15" s="23" t="s">
        <v>116</v>
      </c>
      <c r="J15" s="24">
        <v>12.0</v>
      </c>
      <c r="K15" s="25">
        <v>2200.0</v>
      </c>
      <c r="L15" s="25">
        <f>J15*K15</f>
        <v>26400.0</v>
      </c>
      <c r="M15" s="26">
        <v>15.0</v>
      </c>
      <c r="N15" s="25">
        <f>L15*(1-M15/100)</f>
        <v>22440.0</v>
      </c>
    </row>
    <row r="16" spans="8:8" ht="16.5" customHeight="1">
      <c r="A16" s="27" t="s">
        <v>117</v>
      </c>
      <c r="B16" s="27" t="s">
        <v>118</v>
      </c>
      <c r="C16" s="27" t="s">
        <v>107</v>
      </c>
      <c r="D16" s="27" t="s">
        <v>10</v>
      </c>
      <c r="E16" s="27" t="s">
        <v>119</v>
      </c>
      <c r="F16" s="27" t="s">
        <v>19</v>
      </c>
      <c r="G16" s="27" t="s">
        <v>11</v>
      </c>
      <c r="H16" s="27" t="s">
        <v>13</v>
      </c>
      <c r="I16" s="27" t="s">
        <v>120</v>
      </c>
      <c r="J16" s="28">
        <v>18.0</v>
      </c>
      <c r="K16" s="29">
        <v>1800.0</v>
      </c>
      <c r="L16" s="29">
        <f>J16*K16</f>
        <v>32400.0</v>
      </c>
      <c r="M16" s="30">
        <v>10.0</v>
      </c>
      <c r="N16" s="29">
        <f>L16*(1-M16/100)</f>
        <v>29160.0</v>
      </c>
    </row>
    <row r="17" spans="8:8" ht="16.5" customHeight="1">
      <c r="A17" s="23" t="s">
        <v>121</v>
      </c>
      <c r="B17" s="23" t="s">
        <v>122</v>
      </c>
      <c r="C17" s="23" t="s">
        <v>107</v>
      </c>
      <c r="D17" s="23" t="s">
        <v>10</v>
      </c>
      <c r="E17" s="23" t="s">
        <v>82</v>
      </c>
      <c r="F17" s="23" t="s">
        <v>28</v>
      </c>
      <c r="G17" s="23" t="s">
        <v>21</v>
      </c>
      <c r="H17" s="23" t="s">
        <v>27</v>
      </c>
      <c r="I17" s="23" t="s">
        <v>123</v>
      </c>
      <c r="J17" s="24">
        <v>30.0</v>
      </c>
      <c r="K17" s="25">
        <v>450.0</v>
      </c>
      <c r="L17" s="25">
        <f>J17*K17</f>
        <v>13500.0</v>
      </c>
      <c r="M17" s="26">
        <v>0.0</v>
      </c>
      <c r="N17" s="25">
        <f>L17*(1-M17/100)</f>
        <v>13500.0</v>
      </c>
    </row>
    <row r="18" spans="8:8" ht="16.5" customHeight="1">
      <c r="A18" s="27" t="s">
        <v>124</v>
      </c>
      <c r="B18" s="27" t="s">
        <v>125</v>
      </c>
      <c r="C18" s="27" t="s">
        <v>126</v>
      </c>
      <c r="D18" s="27" t="s">
        <v>15</v>
      </c>
      <c r="E18" s="27" t="s">
        <v>127</v>
      </c>
      <c r="F18" s="27" t="s">
        <v>9</v>
      </c>
      <c r="G18" s="27" t="s">
        <v>11</v>
      </c>
      <c r="H18" s="27" t="s">
        <v>8</v>
      </c>
      <c r="I18" s="27" t="s">
        <v>67</v>
      </c>
      <c r="J18" s="28">
        <v>3.0</v>
      </c>
      <c r="K18" s="29">
        <v>58000.0</v>
      </c>
      <c r="L18" s="29">
        <f>J18*K18</f>
        <v>174000.0</v>
      </c>
      <c r="M18" s="30">
        <v>5.0</v>
      </c>
      <c r="N18" s="29">
        <f>L18*(1-M18/100)</f>
        <v>165300.0</v>
      </c>
    </row>
    <row r="19" spans="8:8" ht="16.5" customHeight="1">
      <c r="A19" s="23" t="s">
        <v>128</v>
      </c>
      <c r="B19" s="23" t="s">
        <v>129</v>
      </c>
      <c r="C19" s="23" t="s">
        <v>126</v>
      </c>
      <c r="D19" s="23" t="s">
        <v>15</v>
      </c>
      <c r="E19" s="23" t="s">
        <v>130</v>
      </c>
      <c r="F19" s="23" t="s">
        <v>14</v>
      </c>
      <c r="G19" s="23" t="s">
        <v>11</v>
      </c>
      <c r="H19" s="23" t="s">
        <v>18</v>
      </c>
      <c r="I19" s="23" t="s">
        <v>131</v>
      </c>
      <c r="J19" s="24">
        <v>4.0</v>
      </c>
      <c r="K19" s="25">
        <v>12000.0</v>
      </c>
      <c r="L19" s="25">
        <f>J19*K19</f>
        <v>48000.0</v>
      </c>
      <c r="M19" s="26">
        <v>8.0</v>
      </c>
      <c r="N19" s="25">
        <f>L19*(1-M19/100)</f>
        <v>44160.0</v>
      </c>
    </row>
    <row r="20" spans="8:8" ht="16.5" customHeight="1">
      <c r="A20" s="27" t="s">
        <v>132</v>
      </c>
      <c r="B20" s="27" t="s">
        <v>133</v>
      </c>
      <c r="C20" s="27" t="s">
        <v>126</v>
      </c>
      <c r="D20" s="27" t="s">
        <v>15</v>
      </c>
      <c r="E20" s="27" t="s">
        <v>119</v>
      </c>
      <c r="F20" s="27" t="s">
        <v>24</v>
      </c>
      <c r="G20" s="27" t="s">
        <v>16</v>
      </c>
      <c r="H20" s="27" t="s">
        <v>23</v>
      </c>
      <c r="I20" s="27" t="s">
        <v>134</v>
      </c>
      <c r="J20" s="28">
        <v>10.0</v>
      </c>
      <c r="K20" s="29">
        <v>2500.0</v>
      </c>
      <c r="L20" s="29">
        <f>J20*K20</f>
        <v>25000.0</v>
      </c>
      <c r="M20" s="30">
        <v>12.0</v>
      </c>
      <c r="N20" s="29">
        <f>L20*(1-M20/100)</f>
        <v>22000.0</v>
      </c>
    </row>
    <row r="21" spans="8:8" ht="16.5" customHeight="1">
      <c r="A21" s="23" t="s">
        <v>135</v>
      </c>
      <c r="B21" s="23" t="s">
        <v>136</v>
      </c>
      <c r="C21" s="23" t="s">
        <v>126</v>
      </c>
      <c r="D21" s="23" t="s">
        <v>15</v>
      </c>
      <c r="E21" s="23" t="s">
        <v>137</v>
      </c>
      <c r="F21" s="23" t="s">
        <v>19</v>
      </c>
      <c r="G21" s="23" t="s">
        <v>11</v>
      </c>
      <c r="H21" s="23" t="s">
        <v>13</v>
      </c>
      <c r="I21" s="23" t="s">
        <v>138</v>
      </c>
      <c r="J21" s="24">
        <v>8.0</v>
      </c>
      <c r="K21" s="25">
        <v>4500.0</v>
      </c>
      <c r="L21" s="25">
        <f>J21*K21</f>
        <v>36000.0</v>
      </c>
      <c r="M21" s="26">
        <v>15.0</v>
      </c>
      <c r="N21" s="25">
        <f>L21*(1-M21/100)</f>
        <v>30600.0</v>
      </c>
    </row>
    <row r="22" spans="8:8" ht="16.5" customHeight="1">
      <c r="A22" s="27" t="s">
        <v>139</v>
      </c>
      <c r="B22" s="27" t="s">
        <v>140</v>
      </c>
      <c r="C22" s="27" t="s">
        <v>126</v>
      </c>
      <c r="D22" s="27" t="s">
        <v>15</v>
      </c>
      <c r="E22" s="27" t="s">
        <v>141</v>
      </c>
      <c r="F22" s="27" t="s">
        <v>9</v>
      </c>
      <c r="G22" s="27" t="s">
        <v>21</v>
      </c>
      <c r="H22" s="27" t="s">
        <v>8</v>
      </c>
      <c r="I22" s="27" t="s">
        <v>142</v>
      </c>
      <c r="J22" s="28">
        <v>50.0</v>
      </c>
      <c r="K22" s="29">
        <v>2500.0</v>
      </c>
      <c r="L22" s="29">
        <f>J22*K22</f>
        <v>125000.0</v>
      </c>
      <c r="M22" s="30">
        <v>5.0</v>
      </c>
      <c r="N22" s="29">
        <f>L22*(1-M22/100)</f>
        <v>118750.0</v>
      </c>
    </row>
    <row r="23" spans="8:8" ht="16.5" customHeight="1">
      <c r="A23" s="23" t="s">
        <v>143</v>
      </c>
      <c r="B23" s="23" t="s">
        <v>144</v>
      </c>
      <c r="C23" s="23" t="s">
        <v>26</v>
      </c>
      <c r="D23" s="23" t="s">
        <v>15</v>
      </c>
      <c r="E23" s="23" t="s">
        <v>145</v>
      </c>
      <c r="F23" s="23" t="s">
        <v>14</v>
      </c>
      <c r="G23" s="23" t="s">
        <v>11</v>
      </c>
      <c r="H23" s="23" t="s">
        <v>30</v>
      </c>
      <c r="I23" s="23" t="s">
        <v>146</v>
      </c>
      <c r="J23" s="24">
        <v>15.0</v>
      </c>
      <c r="K23" s="25">
        <v>1800.0</v>
      </c>
      <c r="L23" s="25">
        <f>J23*K23</f>
        <v>27000.0</v>
      </c>
      <c r="M23" s="26">
        <v>20.0</v>
      </c>
      <c r="N23" s="25">
        <f>L23*(1-M23/100)</f>
        <v>21600.0</v>
      </c>
    </row>
    <row r="24" spans="8:8" ht="16.5" customHeight="1">
      <c r="A24" s="27" t="s">
        <v>147</v>
      </c>
      <c r="B24" s="27" t="s">
        <v>148</v>
      </c>
      <c r="C24" s="27" t="s">
        <v>26</v>
      </c>
      <c r="D24" s="27" t="s">
        <v>15</v>
      </c>
      <c r="E24" s="27" t="s">
        <v>149</v>
      </c>
      <c r="F24" s="27" t="s">
        <v>28</v>
      </c>
      <c r="G24" s="27" t="s">
        <v>16</v>
      </c>
      <c r="H24" s="27" t="s">
        <v>27</v>
      </c>
      <c r="I24" s="27" t="s">
        <v>150</v>
      </c>
      <c r="J24" s="28">
        <v>25.0</v>
      </c>
      <c r="K24" s="29">
        <v>550.0</v>
      </c>
      <c r="L24" s="29">
        <f>J24*K24</f>
        <v>13750.0</v>
      </c>
      <c r="M24" s="30">
        <v>0.0</v>
      </c>
      <c r="N24" s="29">
        <f>L24*(1-M24/100)</f>
        <v>13750.0</v>
      </c>
    </row>
    <row r="25" spans="8:8" ht="16.5" customHeight="1">
      <c r="A25" s="23" t="s">
        <v>151</v>
      </c>
      <c r="B25" s="23" t="s">
        <v>152</v>
      </c>
      <c r="C25" s="23" t="s">
        <v>26</v>
      </c>
      <c r="D25" s="23" t="s">
        <v>15</v>
      </c>
      <c r="E25" s="23" t="s">
        <v>153</v>
      </c>
      <c r="F25" s="23" t="s">
        <v>9</v>
      </c>
      <c r="G25" s="23" t="s">
        <v>11</v>
      </c>
      <c r="H25" s="23" t="s">
        <v>8</v>
      </c>
      <c r="I25" s="23" t="s">
        <v>154</v>
      </c>
      <c r="J25" s="24">
        <v>2.0</v>
      </c>
      <c r="K25" s="25">
        <v>45000.0</v>
      </c>
      <c r="L25" s="25">
        <f>J25*K25</f>
        <v>90000.0</v>
      </c>
      <c r="M25" s="26">
        <v>8.0</v>
      </c>
      <c r="N25" s="25">
        <f>L25*(1-M25/100)</f>
        <v>82800.0</v>
      </c>
    </row>
    <row r="26" spans="8:8" ht="16.5" customHeight="1">
      <c r="A26" s="27" t="s">
        <v>155</v>
      </c>
      <c r="B26" s="27" t="s">
        <v>156</v>
      </c>
      <c r="C26" s="27" t="s">
        <v>26</v>
      </c>
      <c r="D26" s="27" t="s">
        <v>15</v>
      </c>
      <c r="E26" s="27" t="s">
        <v>157</v>
      </c>
      <c r="F26" s="27" t="s">
        <v>24</v>
      </c>
      <c r="G26" s="27" t="s">
        <v>11</v>
      </c>
      <c r="H26" s="27" t="s">
        <v>18</v>
      </c>
      <c r="I26" s="27" t="s">
        <v>158</v>
      </c>
      <c r="J26" s="28">
        <v>8.0</v>
      </c>
      <c r="K26" s="29">
        <v>3800.0</v>
      </c>
      <c r="L26" s="29">
        <f>J26*K26</f>
        <v>30400.0</v>
      </c>
      <c r="M26" s="30">
        <v>10.0</v>
      </c>
      <c r="N26" s="29">
        <f>L26*(1-M26/100)</f>
        <v>27360.0</v>
      </c>
    </row>
    <row r="27" spans="8:8" ht="16.5" customHeight="1">
      <c r="A27" s="23" t="s">
        <v>159</v>
      </c>
      <c r="B27" s="23" t="s">
        <v>160</v>
      </c>
      <c r="C27" s="23" t="s">
        <v>26</v>
      </c>
      <c r="D27" s="23" t="s">
        <v>15</v>
      </c>
      <c r="E27" s="23" t="s">
        <v>161</v>
      </c>
      <c r="F27" s="23" t="s">
        <v>19</v>
      </c>
      <c r="G27" s="23" t="s">
        <v>21</v>
      </c>
      <c r="H27" s="23" t="s">
        <v>23</v>
      </c>
      <c r="I27" s="23" t="s">
        <v>162</v>
      </c>
      <c r="J27" s="24">
        <v>30.0</v>
      </c>
      <c r="K27" s="25">
        <v>1600.0</v>
      </c>
      <c r="L27" s="25">
        <f>J27*K27</f>
        <v>48000.0</v>
      </c>
      <c r="M27" s="26">
        <v>15.0</v>
      </c>
      <c r="N27" s="25">
        <f>L27*(1-M27/100)</f>
        <v>40800.0</v>
      </c>
    </row>
    <row r="28" spans="8:8" ht="16.5" customHeight="1">
      <c r="A28" s="27" t="s">
        <v>163</v>
      </c>
      <c r="B28" s="27" t="s">
        <v>164</v>
      </c>
      <c r="C28" s="27" t="s">
        <v>165</v>
      </c>
      <c r="D28" s="27" t="s">
        <v>15</v>
      </c>
      <c r="E28" s="27" t="s">
        <v>166</v>
      </c>
      <c r="F28" s="27" t="s">
        <v>9</v>
      </c>
      <c r="G28" s="27" t="s">
        <v>11</v>
      </c>
      <c r="H28" s="27" t="s">
        <v>13</v>
      </c>
      <c r="I28" s="27" t="s">
        <v>167</v>
      </c>
      <c r="J28" s="28">
        <v>20.0</v>
      </c>
      <c r="K28" s="29">
        <v>2200.0</v>
      </c>
      <c r="L28" s="29">
        <f>J28*K28</f>
        <v>44000.0</v>
      </c>
      <c r="M28" s="30">
        <v>25.0</v>
      </c>
      <c r="N28" s="29">
        <f>L28*(1-M28/100)</f>
        <v>33000.0</v>
      </c>
    </row>
    <row r="29" spans="8:8" ht="16.5" customHeight="1">
      <c r="A29" s="23" t="s">
        <v>168</v>
      </c>
      <c r="B29" s="23" t="s">
        <v>169</v>
      </c>
      <c r="C29" s="23" t="s">
        <v>165</v>
      </c>
      <c r="D29" s="23" t="s">
        <v>15</v>
      </c>
      <c r="E29" s="23" t="s">
        <v>170</v>
      </c>
      <c r="F29" s="23" t="s">
        <v>14</v>
      </c>
      <c r="G29" s="23" t="s">
        <v>11</v>
      </c>
      <c r="H29" s="23" t="s">
        <v>8</v>
      </c>
      <c r="I29" s="23" t="s">
        <v>67</v>
      </c>
      <c r="J29" s="24">
        <v>4.0</v>
      </c>
      <c r="K29" s="25">
        <v>58000.0</v>
      </c>
      <c r="L29" s="25">
        <f>J29*K29</f>
        <v>232000.0</v>
      </c>
      <c r="M29" s="26">
        <v>5.0</v>
      </c>
      <c r="N29" s="25">
        <f>L29*(1-M29/100)</f>
        <v>220400.0</v>
      </c>
    </row>
    <row r="30" spans="8:8" ht="16.5" customHeight="1">
      <c r="A30" s="27" t="s">
        <v>171</v>
      </c>
      <c r="B30" s="27" t="s">
        <v>172</v>
      </c>
      <c r="C30" s="27" t="s">
        <v>165</v>
      </c>
      <c r="D30" s="27" t="s">
        <v>15</v>
      </c>
      <c r="E30" s="27" t="s">
        <v>173</v>
      </c>
      <c r="F30" s="27" t="s">
        <v>24</v>
      </c>
      <c r="G30" s="27" t="s">
        <v>16</v>
      </c>
      <c r="H30" s="27" t="s">
        <v>30</v>
      </c>
      <c r="I30" s="27" t="s">
        <v>174</v>
      </c>
      <c r="J30" s="28">
        <v>18.0</v>
      </c>
      <c r="K30" s="29">
        <v>2800.0</v>
      </c>
      <c r="L30" s="29">
        <f>J30*K30</f>
        <v>50400.0</v>
      </c>
      <c r="M30" s="30">
        <v>12.0</v>
      </c>
      <c r="N30" s="29">
        <f>L30*(1-M30/100)</f>
        <v>44352.0</v>
      </c>
    </row>
    <row r="31" spans="8:8" ht="16.5" customHeight="1">
      <c r="A31" s="23" t="s">
        <v>175</v>
      </c>
      <c r="B31" s="23" t="s">
        <v>176</v>
      </c>
      <c r="C31" s="23" t="s">
        <v>165</v>
      </c>
      <c r="D31" s="23" t="s">
        <v>15</v>
      </c>
      <c r="E31" s="23" t="s">
        <v>177</v>
      </c>
      <c r="F31" s="23" t="s">
        <v>19</v>
      </c>
      <c r="G31" s="23" t="s">
        <v>11</v>
      </c>
      <c r="H31" s="23" t="s">
        <v>18</v>
      </c>
      <c r="I31" s="23" t="s">
        <v>178</v>
      </c>
      <c r="J31" s="24">
        <v>3.0</v>
      </c>
      <c r="K31" s="25">
        <v>18000.0</v>
      </c>
      <c r="L31" s="25">
        <f>J31*K31</f>
        <v>54000.0</v>
      </c>
      <c r="M31" s="26">
        <v>8.0</v>
      </c>
      <c r="N31" s="25">
        <f>L31*(1-M31/100)</f>
        <v>49680.0</v>
      </c>
    </row>
    <row r="32" spans="8:8" ht="16.5" customHeight="1">
      <c r="A32" s="27" t="s">
        <v>179</v>
      </c>
      <c r="B32" s="27" t="s">
        <v>180</v>
      </c>
      <c r="C32" s="27" t="s">
        <v>165</v>
      </c>
      <c r="D32" s="27" t="s">
        <v>15</v>
      </c>
      <c r="E32" s="27" t="s">
        <v>181</v>
      </c>
      <c r="F32" s="27" t="s">
        <v>28</v>
      </c>
      <c r="G32" s="27" t="s">
        <v>21</v>
      </c>
      <c r="H32" s="27" t="s">
        <v>27</v>
      </c>
      <c r="I32" s="27" t="s">
        <v>182</v>
      </c>
      <c r="J32" s="28">
        <v>40.0</v>
      </c>
      <c r="K32" s="29">
        <v>350.0</v>
      </c>
      <c r="L32" s="29">
        <f>J32*K32</f>
        <v>14000.0</v>
      </c>
      <c r="M32" s="30">
        <v>0.0</v>
      </c>
      <c r="N32" s="29">
        <f>L32*(1-M32/100)</f>
        <v>14000.0</v>
      </c>
    </row>
    <row r="33" spans="8:8" ht="16.5" customHeight="1">
      <c r="A33" s="23" t="s">
        <v>183</v>
      </c>
      <c r="B33" s="23" t="s">
        <v>184</v>
      </c>
      <c r="C33" s="23" t="s">
        <v>185</v>
      </c>
      <c r="D33" s="23" t="s">
        <v>20</v>
      </c>
      <c r="E33" s="23" t="s">
        <v>186</v>
      </c>
      <c r="F33" s="23" t="s">
        <v>9</v>
      </c>
      <c r="G33" s="23" t="s">
        <v>11</v>
      </c>
      <c r="H33" s="23" t="s">
        <v>8</v>
      </c>
      <c r="I33" s="23" t="s">
        <v>79</v>
      </c>
      <c r="J33" s="24">
        <v>8.0</v>
      </c>
      <c r="K33" s="25">
        <v>22000.0</v>
      </c>
      <c r="L33" s="25">
        <f>J33*K33</f>
        <v>176000.0</v>
      </c>
      <c r="M33" s="26">
        <v>5.0</v>
      </c>
      <c r="N33" s="25">
        <f>L33*(1-M33/100)</f>
        <v>167200.0</v>
      </c>
    </row>
    <row r="34" spans="8:8" ht="16.5" customHeight="1">
      <c r="A34" s="27" t="s">
        <v>187</v>
      </c>
      <c r="B34" s="27" t="s">
        <v>188</v>
      </c>
      <c r="C34" s="27" t="s">
        <v>185</v>
      </c>
      <c r="D34" s="27" t="s">
        <v>20</v>
      </c>
      <c r="E34" s="27" t="s">
        <v>189</v>
      </c>
      <c r="F34" s="27" t="s">
        <v>14</v>
      </c>
      <c r="G34" s="27" t="s">
        <v>11</v>
      </c>
      <c r="H34" s="27" t="s">
        <v>23</v>
      </c>
      <c r="I34" s="27" t="s">
        <v>190</v>
      </c>
      <c r="J34" s="28">
        <v>1.0</v>
      </c>
      <c r="K34" s="29">
        <v>45000.0</v>
      </c>
      <c r="L34" s="29">
        <f>J34*K34</f>
        <v>45000.0</v>
      </c>
      <c r="M34" s="30">
        <v>10.0</v>
      </c>
      <c r="N34" s="29">
        <f>L34*(1-M34/100)</f>
        <v>40500.0</v>
      </c>
    </row>
    <row r="35" spans="8:8" ht="16.5" customHeight="1">
      <c r="A35" s="23" t="s">
        <v>191</v>
      </c>
      <c r="B35" s="23" t="s">
        <v>192</v>
      </c>
      <c r="C35" s="23" t="s">
        <v>185</v>
      </c>
      <c r="D35" s="23" t="s">
        <v>20</v>
      </c>
      <c r="E35" s="23" t="s">
        <v>193</v>
      </c>
      <c r="F35" s="23" t="s">
        <v>24</v>
      </c>
      <c r="G35" s="23" t="s">
        <v>16</v>
      </c>
      <c r="H35" s="23" t="s">
        <v>13</v>
      </c>
      <c r="I35" s="23" t="s">
        <v>194</v>
      </c>
      <c r="J35" s="24">
        <v>12.0</v>
      </c>
      <c r="K35" s="25">
        <v>2500.0</v>
      </c>
      <c r="L35" s="25">
        <f>J35*K35</f>
        <v>30000.0</v>
      </c>
      <c r="M35" s="26">
        <v>15.0</v>
      </c>
      <c r="N35" s="25">
        <f>L35*(1-M35/100)</f>
        <v>25500.0</v>
      </c>
    </row>
    <row r="36" spans="8:8" ht="16.5" customHeight="1">
      <c r="A36" s="27" t="s">
        <v>195</v>
      </c>
      <c r="B36" s="27" t="s">
        <v>196</v>
      </c>
      <c r="C36" s="27" t="s">
        <v>185</v>
      </c>
      <c r="D36" s="27" t="s">
        <v>20</v>
      </c>
      <c r="E36" s="27" t="s">
        <v>197</v>
      </c>
      <c r="F36" s="27" t="s">
        <v>19</v>
      </c>
      <c r="G36" s="27" t="s">
        <v>11</v>
      </c>
      <c r="H36" s="27" t="s">
        <v>18</v>
      </c>
      <c r="I36" s="27" t="s">
        <v>198</v>
      </c>
      <c r="J36" s="28">
        <v>5.0</v>
      </c>
      <c r="K36" s="29">
        <v>6500.0</v>
      </c>
      <c r="L36" s="29">
        <f>J36*K36</f>
        <v>32500.0</v>
      </c>
      <c r="M36" s="30">
        <v>8.0</v>
      </c>
      <c r="N36" s="29">
        <f>L36*(1-M36/100)</f>
        <v>29900.0</v>
      </c>
    </row>
    <row r="37" spans="8:8" ht="16.5" customHeight="1">
      <c r="A37" s="23" t="s">
        <v>199</v>
      </c>
      <c r="B37" s="23" t="s">
        <v>200</v>
      </c>
      <c r="C37" s="23" t="s">
        <v>185</v>
      </c>
      <c r="D37" s="23" t="s">
        <v>20</v>
      </c>
      <c r="E37" s="23" t="s">
        <v>201</v>
      </c>
      <c r="F37" s="23" t="s">
        <v>9</v>
      </c>
      <c r="G37" s="23" t="s">
        <v>21</v>
      </c>
      <c r="H37" s="23" t="s">
        <v>30</v>
      </c>
      <c r="I37" s="23" t="s">
        <v>202</v>
      </c>
      <c r="J37" s="24">
        <v>25.0</v>
      </c>
      <c r="K37" s="25">
        <v>1200.0</v>
      </c>
      <c r="L37" s="25">
        <f>J37*K37</f>
        <v>30000.0</v>
      </c>
      <c r="M37" s="26">
        <v>20.0</v>
      </c>
      <c r="N37" s="25">
        <f>L37*(1-M37/100)</f>
        <v>24000.0</v>
      </c>
    </row>
    <row r="38" spans="8:8" ht="16.5" customHeight="1">
      <c r="A38" s="27" t="s">
        <v>203</v>
      </c>
      <c r="B38" s="27" t="s">
        <v>204</v>
      </c>
      <c r="C38" s="27" t="s">
        <v>205</v>
      </c>
      <c r="D38" s="27" t="s">
        <v>20</v>
      </c>
      <c r="E38" s="27" t="s">
        <v>206</v>
      </c>
      <c r="F38" s="27" t="s">
        <v>14</v>
      </c>
      <c r="G38" s="27" t="s">
        <v>11</v>
      </c>
      <c r="H38" s="27" t="s">
        <v>8</v>
      </c>
      <c r="I38" s="27" t="s">
        <v>67</v>
      </c>
      <c r="J38" s="28">
        <v>5.0</v>
      </c>
      <c r="K38" s="29">
        <v>58000.0</v>
      </c>
      <c r="L38" s="29">
        <f>J38*K38</f>
        <v>290000.0</v>
      </c>
      <c r="M38" s="30">
        <v>5.0</v>
      </c>
      <c r="N38" s="29">
        <f>L38*(1-M38/100)</f>
        <v>275500.0</v>
      </c>
    </row>
    <row r="39" spans="8:8" ht="16.5" customHeight="1">
      <c r="A39" s="23" t="s">
        <v>207</v>
      </c>
      <c r="B39" s="23" t="s">
        <v>208</v>
      </c>
      <c r="C39" s="23" t="s">
        <v>205</v>
      </c>
      <c r="D39" s="23" t="s">
        <v>20</v>
      </c>
      <c r="E39" s="23" t="s">
        <v>209</v>
      </c>
      <c r="F39" s="23" t="s">
        <v>28</v>
      </c>
      <c r="G39" s="23" t="s">
        <v>16</v>
      </c>
      <c r="H39" s="23" t="s">
        <v>27</v>
      </c>
      <c r="I39" s="23" t="s">
        <v>210</v>
      </c>
      <c r="J39" s="24">
        <v>20.0</v>
      </c>
      <c r="K39" s="25">
        <v>750.0</v>
      </c>
      <c r="L39" s="25">
        <f>J39*K39</f>
        <v>15000.0</v>
      </c>
      <c r="M39" s="26">
        <v>0.0</v>
      </c>
      <c r="N39" s="25">
        <f>L39*(1-M39/100)</f>
        <v>15000.0</v>
      </c>
    </row>
    <row r="40" spans="8:8" ht="16.5" customHeight="1">
      <c r="A40" s="27" t="s">
        <v>211</v>
      </c>
      <c r="B40" s="27" t="s">
        <v>212</v>
      </c>
      <c r="C40" s="27" t="s">
        <v>205</v>
      </c>
      <c r="D40" s="27" t="s">
        <v>20</v>
      </c>
      <c r="E40" s="27" t="s">
        <v>213</v>
      </c>
      <c r="F40" s="27" t="s">
        <v>9</v>
      </c>
      <c r="G40" s="27" t="s">
        <v>11</v>
      </c>
      <c r="H40" s="27" t="s">
        <v>23</v>
      </c>
      <c r="I40" s="27" t="s">
        <v>214</v>
      </c>
      <c r="J40" s="28">
        <v>4.0</v>
      </c>
      <c r="K40" s="29">
        <v>12000.0</v>
      </c>
      <c r="L40" s="29">
        <f>J40*K40</f>
        <v>48000.0</v>
      </c>
      <c r="M40" s="30">
        <v>12.0</v>
      </c>
      <c r="N40" s="29">
        <f>L40*(1-M40/100)</f>
        <v>42240.0</v>
      </c>
    </row>
    <row r="41" spans="8:8" ht="16.5" customHeight="1">
      <c r="A41" s="23" t="s">
        <v>215</v>
      </c>
      <c r="B41" s="23" t="s">
        <v>216</v>
      </c>
      <c r="C41" s="23" t="s">
        <v>205</v>
      </c>
      <c r="D41" s="23" t="s">
        <v>20</v>
      </c>
      <c r="E41" s="23" t="s">
        <v>217</v>
      </c>
      <c r="F41" s="23" t="s">
        <v>24</v>
      </c>
      <c r="G41" s="23" t="s">
        <v>11</v>
      </c>
      <c r="H41" s="23" t="s">
        <v>13</v>
      </c>
      <c r="I41" s="23" t="s">
        <v>218</v>
      </c>
      <c r="J41" s="24">
        <v>6.0</v>
      </c>
      <c r="K41" s="25">
        <v>8500.0</v>
      </c>
      <c r="L41" s="25">
        <f>J41*K41</f>
        <v>51000.0</v>
      </c>
      <c r="M41" s="26">
        <v>10.0</v>
      </c>
      <c r="N41" s="25">
        <f>L41*(1-M41/100)</f>
        <v>45900.0</v>
      </c>
    </row>
    <row r="42" spans="8:8" ht="16.5" customHeight="1">
      <c r="A42" s="27" t="s">
        <v>219</v>
      </c>
      <c r="B42" s="27" t="s">
        <v>220</v>
      </c>
      <c r="C42" s="27" t="s">
        <v>205</v>
      </c>
      <c r="D42" s="27" t="s">
        <v>20</v>
      </c>
      <c r="E42" s="27" t="s">
        <v>221</v>
      </c>
      <c r="F42" s="27" t="s">
        <v>19</v>
      </c>
      <c r="G42" s="27" t="s">
        <v>21</v>
      </c>
      <c r="H42" s="27" t="s">
        <v>18</v>
      </c>
      <c r="I42" s="27" t="s">
        <v>222</v>
      </c>
      <c r="J42" s="28">
        <v>15.0</v>
      </c>
      <c r="K42" s="29">
        <v>2800.0</v>
      </c>
      <c r="L42" s="29">
        <f>J42*K42</f>
        <v>42000.0</v>
      </c>
      <c r="M42" s="30">
        <v>8.0</v>
      </c>
      <c r="N42" s="29">
        <f>L42*(1-M42/100)</f>
        <v>38640.0</v>
      </c>
    </row>
    <row r="43" spans="8:8" ht="16.5" customHeight="1">
      <c r="A43" s="23" t="s">
        <v>223</v>
      </c>
      <c r="B43" s="23" t="s">
        <v>224</v>
      </c>
      <c r="C43" s="23" t="s">
        <v>225</v>
      </c>
      <c r="D43" s="23" t="s">
        <v>20</v>
      </c>
      <c r="E43" s="23" t="s">
        <v>226</v>
      </c>
      <c r="F43" s="23" t="s">
        <v>9</v>
      </c>
      <c r="G43" s="23" t="s">
        <v>11</v>
      </c>
      <c r="H43" s="23" t="s">
        <v>8</v>
      </c>
      <c r="I43" s="23" t="s">
        <v>100</v>
      </c>
      <c r="J43" s="24">
        <v>15.0</v>
      </c>
      <c r="K43" s="25">
        <v>18000.0</v>
      </c>
      <c r="L43" s="25">
        <f>J43*K43</f>
        <v>270000.0</v>
      </c>
      <c r="M43" s="26">
        <v>5.0</v>
      </c>
      <c r="N43" s="25">
        <f>L43*(1-M43/100)</f>
        <v>256500.0</v>
      </c>
    </row>
    <row r="44" spans="8:8" ht="16.5" customHeight="1">
      <c r="A44" s="27" t="s">
        <v>227</v>
      </c>
      <c r="B44" s="27" t="s">
        <v>228</v>
      </c>
      <c r="C44" s="27" t="s">
        <v>225</v>
      </c>
      <c r="D44" s="27" t="s">
        <v>20</v>
      </c>
      <c r="E44" s="27" t="s">
        <v>229</v>
      </c>
      <c r="F44" s="27" t="s">
        <v>14</v>
      </c>
      <c r="G44" s="27" t="s">
        <v>11</v>
      </c>
      <c r="H44" s="27" t="s">
        <v>30</v>
      </c>
      <c r="I44" s="27" t="s">
        <v>230</v>
      </c>
      <c r="J44" s="28">
        <v>10.0</v>
      </c>
      <c r="K44" s="29">
        <v>5500.0</v>
      </c>
      <c r="L44" s="29">
        <f>J44*K44</f>
        <v>55000.0</v>
      </c>
      <c r="M44" s="30">
        <v>15.0</v>
      </c>
      <c r="N44" s="29">
        <f>L44*(1-M44/100)</f>
        <v>46750.0</v>
      </c>
    </row>
    <row r="45" spans="8:8" ht="16.5" customHeight="1">
      <c r="A45" s="23" t="s">
        <v>231</v>
      </c>
      <c r="B45" s="23" t="s">
        <v>232</v>
      </c>
      <c r="C45" s="23" t="s">
        <v>225</v>
      </c>
      <c r="D45" s="23" t="s">
        <v>20</v>
      </c>
      <c r="E45" s="23" t="s">
        <v>233</v>
      </c>
      <c r="F45" s="23" t="s">
        <v>24</v>
      </c>
      <c r="G45" s="23" t="s">
        <v>16</v>
      </c>
      <c r="H45" s="23" t="s">
        <v>23</v>
      </c>
      <c r="I45" s="23" t="s">
        <v>234</v>
      </c>
      <c r="J45" s="24">
        <v>8.0</v>
      </c>
      <c r="K45" s="25">
        <v>8500.0</v>
      </c>
      <c r="L45" s="25">
        <f>J45*K45</f>
        <v>68000.0</v>
      </c>
      <c r="M45" s="26">
        <v>10.0</v>
      </c>
      <c r="N45" s="25">
        <f>L45*(1-M45/100)</f>
        <v>61200.0</v>
      </c>
    </row>
    <row r="46" spans="8:8" ht="16.5" customHeight="1">
      <c r="A46" s="27" t="s">
        <v>235</v>
      </c>
      <c r="B46" s="27" t="s">
        <v>236</v>
      </c>
      <c r="C46" s="27" t="s">
        <v>225</v>
      </c>
      <c r="D46" s="27" t="s">
        <v>20</v>
      </c>
      <c r="E46" s="27" t="s">
        <v>237</v>
      </c>
      <c r="F46" s="27" t="s">
        <v>19</v>
      </c>
      <c r="G46" s="27" t="s">
        <v>11</v>
      </c>
      <c r="H46" s="27" t="s">
        <v>13</v>
      </c>
      <c r="I46" s="27" t="s">
        <v>238</v>
      </c>
      <c r="J46" s="28">
        <v>25.0</v>
      </c>
      <c r="K46" s="29">
        <v>1800.0</v>
      </c>
      <c r="L46" s="29">
        <f>J46*K46</f>
        <v>45000.0</v>
      </c>
      <c r="M46" s="30">
        <v>20.0</v>
      </c>
      <c r="N46" s="29">
        <f>L46*(1-M46/100)</f>
        <v>36000.0</v>
      </c>
    </row>
    <row r="47" spans="8:8" ht="16.5" customHeight="1">
      <c r="A47" s="23" t="s">
        <v>239</v>
      </c>
      <c r="B47" s="23" t="s">
        <v>240</v>
      </c>
      <c r="C47" s="23" t="s">
        <v>225</v>
      </c>
      <c r="D47" s="23" t="s">
        <v>20</v>
      </c>
      <c r="E47" s="23" t="s">
        <v>241</v>
      </c>
      <c r="F47" s="23" t="s">
        <v>28</v>
      </c>
      <c r="G47" s="23" t="s">
        <v>21</v>
      </c>
      <c r="H47" s="23" t="s">
        <v>27</v>
      </c>
      <c r="I47" s="23" t="s">
        <v>242</v>
      </c>
      <c r="J47" s="24">
        <v>35.0</v>
      </c>
      <c r="K47" s="25">
        <v>400.0</v>
      </c>
      <c r="L47" s="25">
        <f>J47*K47</f>
        <v>14000.0</v>
      </c>
      <c r="M47" s="26">
        <v>0.0</v>
      </c>
      <c r="N47" s="25">
        <f>L47*(1-M47/100)</f>
        <v>14000.0</v>
      </c>
    </row>
    <row r="48" spans="8:8" ht="16.5" customHeight="1">
      <c r="A48" s="27" t="s">
        <v>243</v>
      </c>
      <c r="B48" s="27" t="s">
        <v>244</v>
      </c>
      <c r="C48" s="27" t="s">
        <v>245</v>
      </c>
      <c r="D48" s="27" t="s">
        <v>25</v>
      </c>
      <c r="E48" s="27" t="s">
        <v>246</v>
      </c>
      <c r="F48" s="27" t="s">
        <v>9</v>
      </c>
      <c r="G48" s="27" t="s">
        <v>11</v>
      </c>
      <c r="H48" s="27" t="s">
        <v>8</v>
      </c>
      <c r="I48" s="27" t="s">
        <v>67</v>
      </c>
      <c r="J48" s="28">
        <v>6.0</v>
      </c>
      <c r="K48" s="29">
        <v>58000.0</v>
      </c>
      <c r="L48" s="29">
        <f>J48*K48</f>
        <v>348000.0</v>
      </c>
      <c r="M48" s="30">
        <v>8.0</v>
      </c>
      <c r="N48" s="29">
        <f>L48*(1-M48/100)</f>
        <v>320160.0</v>
      </c>
    </row>
    <row r="49" spans="8:8" ht="16.5" customHeight="1">
      <c r="A49" s="23" t="s">
        <v>247</v>
      </c>
      <c r="B49" s="23" t="s">
        <v>248</v>
      </c>
      <c r="C49" s="23" t="s">
        <v>245</v>
      </c>
      <c r="D49" s="23" t="s">
        <v>25</v>
      </c>
      <c r="E49" s="23" t="s">
        <v>249</v>
      </c>
      <c r="F49" s="23" t="s">
        <v>14</v>
      </c>
      <c r="G49" s="23" t="s">
        <v>11</v>
      </c>
      <c r="H49" s="23" t="s">
        <v>18</v>
      </c>
      <c r="I49" s="23" t="s">
        <v>250</v>
      </c>
      <c r="J49" s="24">
        <v>4.0</v>
      </c>
      <c r="K49" s="25">
        <v>15000.0</v>
      </c>
      <c r="L49" s="25">
        <f>J49*K49</f>
        <v>60000.0</v>
      </c>
      <c r="M49" s="26">
        <v>10.0</v>
      </c>
      <c r="N49" s="25">
        <f>L49*(1-M49/100)</f>
        <v>54000.0</v>
      </c>
    </row>
    <row r="50" spans="8:8" ht="16.5" customHeight="1">
      <c r="A50" s="27" t="s">
        <v>251</v>
      </c>
      <c r="B50" s="27" t="s">
        <v>252</v>
      </c>
      <c r="C50" s="27" t="s">
        <v>245</v>
      </c>
      <c r="D50" s="27" t="s">
        <v>25</v>
      </c>
      <c r="E50" s="27" t="s">
        <v>253</v>
      </c>
      <c r="F50" s="27" t="s">
        <v>24</v>
      </c>
      <c r="G50" s="27" t="s">
        <v>16</v>
      </c>
      <c r="H50" s="27" t="s">
        <v>23</v>
      </c>
      <c r="I50" s="27" t="s">
        <v>254</v>
      </c>
      <c r="J50" s="28">
        <v>20.0</v>
      </c>
      <c r="K50" s="29">
        <v>1800.0</v>
      </c>
      <c r="L50" s="29">
        <f>J50*K50</f>
        <v>36000.0</v>
      </c>
      <c r="M50" s="30">
        <v>5.0</v>
      </c>
      <c r="N50" s="29">
        <f>L50*(1-M50/100)</f>
        <v>34200.0</v>
      </c>
    </row>
    <row r="51" spans="8:8" ht="16.5" customHeight="1">
      <c r="A51" s="23" t="s">
        <v>255</v>
      </c>
      <c r="B51" s="23" t="s">
        <v>256</v>
      </c>
      <c r="C51" s="23" t="s">
        <v>245</v>
      </c>
      <c r="D51" s="23" t="s">
        <v>25</v>
      </c>
      <c r="E51" s="23" t="s">
        <v>257</v>
      </c>
      <c r="F51" s="23" t="s">
        <v>19</v>
      </c>
      <c r="G51" s="23" t="s">
        <v>11</v>
      </c>
      <c r="H51" s="23" t="s">
        <v>13</v>
      </c>
      <c r="I51" s="23" t="s">
        <v>258</v>
      </c>
      <c r="J51" s="24">
        <v>30.0</v>
      </c>
      <c r="K51" s="25">
        <v>3200.0</v>
      </c>
      <c r="L51" s="25">
        <f>J51*K51</f>
        <v>96000.0</v>
      </c>
      <c r="M51" s="26">
        <v>15.0</v>
      </c>
      <c r="N51" s="25">
        <f>L51*(1-M51/100)</f>
        <v>81600.0</v>
      </c>
    </row>
    <row r="52" spans="8:8" ht="16.5" customHeight="1">
      <c r="A52" s="27" t="s">
        <v>259</v>
      </c>
      <c r="B52" s="27" t="s">
        <v>260</v>
      </c>
      <c r="C52" s="27" t="s">
        <v>245</v>
      </c>
      <c r="D52" s="27" t="s">
        <v>25</v>
      </c>
      <c r="E52" s="27" t="s">
        <v>261</v>
      </c>
      <c r="F52" s="27" t="s">
        <v>9</v>
      </c>
      <c r="G52" s="27" t="s">
        <v>21</v>
      </c>
      <c r="H52" s="27" t="s">
        <v>30</v>
      </c>
      <c r="I52" s="27" t="s">
        <v>262</v>
      </c>
      <c r="J52" s="28">
        <v>40.0</v>
      </c>
      <c r="K52" s="29">
        <v>2200.0</v>
      </c>
      <c r="L52" s="29">
        <f>J52*K52</f>
        <v>88000.0</v>
      </c>
      <c r="M52" s="30">
        <v>12.0</v>
      </c>
      <c r="N52" s="29">
        <f>L52*(1-M52/100)</f>
        <v>77440.0</v>
      </c>
    </row>
    <row r="53" spans="8:8" ht="16.5" customHeight="1">
      <c r="A53" s="23" t="s">
        <v>263</v>
      </c>
      <c r="B53" s="23" t="s">
        <v>264</v>
      </c>
      <c r="C53" s="23" t="s">
        <v>265</v>
      </c>
      <c r="D53" s="23" t="s">
        <v>25</v>
      </c>
      <c r="E53" s="23" t="s">
        <v>266</v>
      </c>
      <c r="F53" s="23" t="s">
        <v>14</v>
      </c>
      <c r="G53" s="23" t="s">
        <v>11</v>
      </c>
      <c r="H53" s="23" t="s">
        <v>8</v>
      </c>
      <c r="I53" s="23" t="s">
        <v>154</v>
      </c>
      <c r="J53" s="24">
        <v>3.0</v>
      </c>
      <c r="K53" s="25">
        <v>45000.0</v>
      </c>
      <c r="L53" s="25">
        <f>J53*K53</f>
        <v>135000.0</v>
      </c>
      <c r="M53" s="26">
        <v>10.0</v>
      </c>
      <c r="N53" s="25">
        <f>L53*(1-M53/100)</f>
        <v>121500.0</v>
      </c>
    </row>
    <row r="54" spans="8:8" ht="16.5" customHeight="1">
      <c r="A54" s="27" t="s">
        <v>267</v>
      </c>
      <c r="B54" s="27" t="s">
        <v>268</v>
      </c>
      <c r="C54" s="27" t="s">
        <v>265</v>
      </c>
      <c r="D54" s="27" t="s">
        <v>25</v>
      </c>
      <c r="E54" s="27" t="s">
        <v>269</v>
      </c>
      <c r="F54" s="27" t="s">
        <v>28</v>
      </c>
      <c r="G54" s="27" t="s">
        <v>16</v>
      </c>
      <c r="H54" s="27" t="s">
        <v>27</v>
      </c>
      <c r="I54" s="27" t="s">
        <v>270</v>
      </c>
      <c r="J54" s="28">
        <v>50.0</v>
      </c>
      <c r="K54" s="29">
        <v>480.0</v>
      </c>
      <c r="L54" s="29">
        <f>J54*K54</f>
        <v>24000.0</v>
      </c>
      <c r="M54" s="30">
        <v>0.0</v>
      </c>
      <c r="N54" s="29">
        <f>L54*(1-M54/100)</f>
        <v>24000.0</v>
      </c>
    </row>
    <row r="55" spans="8:8" ht="16.5" customHeight="1">
      <c r="A55" s="23" t="s">
        <v>271</v>
      </c>
      <c r="B55" s="23" t="s">
        <v>272</v>
      </c>
      <c r="C55" s="23" t="s">
        <v>265</v>
      </c>
      <c r="D55" s="23" t="s">
        <v>25</v>
      </c>
      <c r="E55" s="23" t="s">
        <v>273</v>
      </c>
      <c r="F55" s="23" t="s">
        <v>9</v>
      </c>
      <c r="G55" s="23" t="s">
        <v>11</v>
      </c>
      <c r="H55" s="23" t="s">
        <v>8</v>
      </c>
      <c r="I55" s="23" t="s">
        <v>67</v>
      </c>
      <c r="J55" s="24">
        <v>8.0</v>
      </c>
      <c r="K55" s="25">
        <v>58000.0</v>
      </c>
      <c r="L55" s="25">
        <f>J55*K55</f>
        <v>464000.0</v>
      </c>
      <c r="M55" s="26">
        <v>12.0</v>
      </c>
      <c r="N55" s="25">
        <f>L55*(1-M55/100)</f>
        <v>408320.0</v>
      </c>
    </row>
    <row r="56" spans="8:8" ht="16.5" customHeight="1">
      <c r="A56" s="27" t="s">
        <v>274</v>
      </c>
      <c r="B56" s="27" t="s">
        <v>275</v>
      </c>
      <c r="C56" s="27" t="s">
        <v>265</v>
      </c>
      <c r="D56" s="27" t="s">
        <v>25</v>
      </c>
      <c r="E56" s="27" t="s">
        <v>276</v>
      </c>
      <c r="F56" s="27" t="s">
        <v>24</v>
      </c>
      <c r="G56" s="27" t="s">
        <v>11</v>
      </c>
      <c r="H56" s="27" t="s">
        <v>18</v>
      </c>
      <c r="I56" s="27" t="s">
        <v>277</v>
      </c>
      <c r="J56" s="28">
        <v>2.0</v>
      </c>
      <c r="K56" s="29">
        <v>28000.0</v>
      </c>
      <c r="L56" s="29">
        <f>J56*K56</f>
        <v>56000.0</v>
      </c>
      <c r="M56" s="30">
        <v>8.0</v>
      </c>
      <c r="N56" s="29">
        <f>L56*(1-M56/100)</f>
        <v>51520.0</v>
      </c>
    </row>
    <row r="57" spans="8:8" ht="16.5" customHeight="1">
      <c r="A57" s="23" t="s">
        <v>278</v>
      </c>
      <c r="B57" s="23" t="s">
        <v>279</v>
      </c>
      <c r="C57" s="23" t="s">
        <v>280</v>
      </c>
      <c r="D57" s="23" t="s">
        <v>25</v>
      </c>
      <c r="E57" s="23" t="s">
        <v>281</v>
      </c>
      <c r="F57" s="23" t="s">
        <v>19</v>
      </c>
      <c r="G57" s="23" t="s">
        <v>21</v>
      </c>
      <c r="H57" s="23" t="s">
        <v>23</v>
      </c>
      <c r="I57" s="23" t="s">
        <v>282</v>
      </c>
      <c r="J57" s="24">
        <v>2.0</v>
      </c>
      <c r="K57" s="25">
        <v>55000.0</v>
      </c>
      <c r="L57" s="25">
        <f>J57*K57</f>
        <v>110000.0</v>
      </c>
      <c r="M57" s="26">
        <v>15.0</v>
      </c>
      <c r="N57" s="25">
        <f>L57*(1-M57/100)</f>
        <v>93500.0</v>
      </c>
    </row>
    <row r="58" spans="8:8" ht="16.5" customHeight="1">
      <c r="A58" s="27" t="s">
        <v>283</v>
      </c>
      <c r="B58" s="27" t="s">
        <v>284</v>
      </c>
      <c r="C58" s="27" t="s">
        <v>280</v>
      </c>
      <c r="D58" s="27" t="s">
        <v>25</v>
      </c>
      <c r="E58" s="27" t="s">
        <v>285</v>
      </c>
      <c r="F58" s="27" t="s">
        <v>9</v>
      </c>
      <c r="G58" s="27" t="s">
        <v>11</v>
      </c>
      <c r="H58" s="27" t="s">
        <v>13</v>
      </c>
      <c r="I58" s="27" t="s">
        <v>286</v>
      </c>
      <c r="J58" s="28">
        <v>40.0</v>
      </c>
      <c r="K58" s="29">
        <v>2800.0</v>
      </c>
      <c r="L58" s="29">
        <f>J58*K58</f>
        <v>112000.0</v>
      </c>
      <c r="M58" s="30">
        <v>20.0</v>
      </c>
      <c r="N58" s="29">
        <f>L58*(1-M58/100)</f>
        <v>89600.0</v>
      </c>
    </row>
    <row r="59" spans="8:8" ht="16.5" customHeight="1">
      <c r="A59" s="23" t="s">
        <v>287</v>
      </c>
      <c r="B59" s="23" t="s">
        <v>288</v>
      </c>
      <c r="C59" s="23" t="s">
        <v>280</v>
      </c>
      <c r="D59" s="23" t="s">
        <v>25</v>
      </c>
      <c r="E59" s="23" t="s">
        <v>289</v>
      </c>
      <c r="F59" s="23" t="s">
        <v>14</v>
      </c>
      <c r="G59" s="23" t="s">
        <v>11</v>
      </c>
      <c r="H59" s="23" t="s">
        <v>8</v>
      </c>
      <c r="I59" s="23" t="s">
        <v>67</v>
      </c>
      <c r="J59" s="24">
        <v>10.0</v>
      </c>
      <c r="K59" s="25">
        <v>58000.0</v>
      </c>
      <c r="L59" s="25">
        <f>J59*K59</f>
        <v>580000.0</v>
      </c>
      <c r="M59" s="26">
        <v>10.0</v>
      </c>
      <c r="N59" s="25">
        <f>L59*(1-M59/100)</f>
        <v>522000.0</v>
      </c>
    </row>
    <row r="60" spans="8:8" ht="16.5" customHeight="1">
      <c r="A60" s="27" t="s">
        <v>290</v>
      </c>
      <c r="B60" s="27" t="s">
        <v>291</v>
      </c>
      <c r="C60" s="27" t="s">
        <v>280</v>
      </c>
      <c r="D60" s="27" t="s">
        <v>25</v>
      </c>
      <c r="E60" s="27" t="s">
        <v>292</v>
      </c>
      <c r="F60" s="27" t="s">
        <v>24</v>
      </c>
      <c r="G60" s="27" t="s">
        <v>16</v>
      </c>
      <c r="H60" s="27" t="s">
        <v>30</v>
      </c>
      <c r="I60" s="27" t="s">
        <v>293</v>
      </c>
      <c r="J60" s="28">
        <v>30.0</v>
      </c>
      <c r="K60" s="29">
        <v>1800.0</v>
      </c>
      <c r="L60" s="29">
        <f>J60*K60</f>
        <v>54000.0</v>
      </c>
      <c r="M60" s="30">
        <v>25.0</v>
      </c>
      <c r="N60" s="29">
        <f>L60*(1-M60/100)</f>
        <v>40500.0</v>
      </c>
    </row>
    <row r="61" spans="8:8" ht="16.5" customHeight="1">
      <c r="A61" s="23" t="s">
        <v>294</v>
      </c>
      <c r="B61" s="23" t="s">
        <v>295</v>
      </c>
      <c r="C61" s="23" t="s">
        <v>280</v>
      </c>
      <c r="D61" s="23" t="s">
        <v>25</v>
      </c>
      <c r="E61" s="23" t="s">
        <v>296</v>
      </c>
      <c r="F61" s="23" t="s">
        <v>19</v>
      </c>
      <c r="G61" s="23" t="s">
        <v>11</v>
      </c>
      <c r="H61" s="23" t="s">
        <v>18</v>
      </c>
      <c r="I61" s="23" t="s">
        <v>297</v>
      </c>
      <c r="J61" s="24">
        <v>5.0</v>
      </c>
      <c r="K61" s="25">
        <v>14000.0</v>
      </c>
      <c r="L61" s="25">
        <f>J61*K61</f>
        <v>70000.0</v>
      </c>
      <c r="M61" s="26">
        <v>8.0</v>
      </c>
      <c r="N61" s="25">
        <f>L61*(1-M61/100)</f>
        <v>64400.0</v>
      </c>
    </row>
    <row r="62" spans="8:8" ht="16.5" customHeight="1">
      <c r="A62" s="27" t="s">
        <v>298</v>
      </c>
      <c r="B62" s="27" t="s">
        <v>299</v>
      </c>
      <c r="C62" s="27" t="s">
        <v>280</v>
      </c>
      <c r="D62" s="27" t="s">
        <v>25</v>
      </c>
      <c r="E62" s="27" t="s">
        <v>300</v>
      </c>
      <c r="F62" s="27" t="s">
        <v>28</v>
      </c>
      <c r="G62" s="27" t="s">
        <v>21</v>
      </c>
      <c r="H62" s="27" t="s">
        <v>23</v>
      </c>
      <c r="I62" s="27" t="s">
        <v>301</v>
      </c>
      <c r="J62" s="28">
        <v>25.0</v>
      </c>
      <c r="K62" s="29">
        <v>3500.0</v>
      </c>
      <c r="L62" s="29">
        <f>J62*K62</f>
        <v>87500.0</v>
      </c>
      <c r="M62" s="30">
        <v>10.0</v>
      </c>
      <c r="N62" s="29">
        <f>L62*(1-M62/100)</f>
        <v>78750.0</v>
      </c>
    </row>
    <row r="63" spans="8:8" ht="21.75" customHeight="1">
      <c r="A63" s="31" t="s">
        <v>302</v>
      </c>
      <c r="B63" s="31"/>
      <c r="C63" s="31"/>
      <c r="D63" s="31"/>
      <c r="E63" s="31"/>
      <c r="F63" s="31"/>
      <c r="G63" s="31"/>
      <c r="H63" s="31"/>
      <c r="I63" s="31"/>
      <c r="J63" s="32">
        <f>SUM(J3:J62)</f>
        <v>866.0</v>
      </c>
      <c r="K63" s="31"/>
      <c r="L63" s="33">
        <f>SUM(L3:L62)</f>
        <v>5361300.0</v>
      </c>
      <c r="M63" s="31"/>
      <c r="N63" s="33">
        <f>SUM(N3:N62)</f>
        <v>4871130.0</v>
      </c>
    </row>
  </sheetData>
  <autoFilter ref="A2:N2">
    <filterColumn colId="0" showButton="1"/>
  </autoFilter>
  <mergeCells count="1">
    <mergeCell ref="A1:N1"/>
  </mergeCells>
  <conditionalFormatting sqref="L3:L62">
    <cfRule type="dataBar" priority="32767">
      <dataBar>
        <cfvo type="num" val="0"/>
        <cfvo type="max"/>
        <color rgb="FF000000"/>
      </dataBar>
    </cfRule>
    <cfRule type="dataBar" priority="2">
      <dataBar>
        <cfvo type="num" val="0"/>
        <cfvo type="max"/>
        <color rgb="FF00B4D8"/>
      </dataBar>
    </cfRule>
  </conditionalFormatting>
  <conditionalFormatting sqref="N3:N62">
    <cfRule type="dataBar" priority="3">
      <dataBar>
        <cfvo type="num" val="0"/>
        <cfvo type="max"/>
        <color rgb="FF06D6A0"/>
      </dataBar>
    </cfRule>
    <cfRule type="dataBar" priority="32767">
      <dataBar>
        <cfvo type="num" val="0"/>
        <cfvo type="max"/>
        <color rgb="FF000000"/>
      </dataBar>
    </cfRule>
  </conditionalFormatting>
  <pageMargins left="0.75" right="0.75" top="1.0" bottom="1.0" header="0.511811023622047" footer="0.511811023622047"/>
  <pageSetup paperSize="9"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FF8C42"/>
  </sheetPr>
  <dimension ref="A1:R49"/>
  <sheetViews>
    <sheetView workbookViewId="0">
      <selection activeCell="A1" sqref="A1:Q1"/>
    </sheetView>
  </sheetViews>
  <sheetFormatPr defaultRowHeight="15.0" zeroHeight="1"/>
  <cols>
    <col min="1" max="1" customWidth="1" width="28.0" style="1"/>
    <col min="2" max="2" customWidth="1" width="38.0" style="1"/>
    <col min="3" max="3" customWidth="1" width="42.0" style="1"/>
    <col min="4" max="4" customWidth="1" width="14.0" style="1"/>
  </cols>
  <sheetData>
    <row r="1" spans="8:8" ht="33.75" customHeight="1">
      <c r="A1" s="21" t="s">
        <v>303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8:8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8:8" ht="19.5" customHeight="1">
      <c r="A3" s="34" t="s">
        <v>304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8:8" ht="21.75" customHeight="1">
      <c r="A4" s="22" t="s">
        <v>305</v>
      </c>
      <c r="B4" s="22" t="s">
        <v>306</v>
      </c>
      <c r="C4" s="22" t="s">
        <v>307</v>
      </c>
      <c r="D4" s="22" t="s">
        <v>308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8:8" ht="16.5" customHeight="1">
      <c r="A5" s="23" t="s">
        <v>309</v>
      </c>
      <c r="B5" s="23" t="s">
        <v>310</v>
      </c>
      <c r="C5" s="23" t="s">
        <v>311</v>
      </c>
      <c r="D5" s="35" t="s">
        <v>312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8:8" ht="16.5" customHeight="1">
      <c r="A6" s="27" t="s">
        <v>313</v>
      </c>
      <c r="B6" s="27" t="s">
        <v>314</v>
      </c>
      <c r="C6" s="27" t="s">
        <v>315</v>
      </c>
      <c r="D6" s="36" t="s">
        <v>312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8:8" ht="16.5" customHeight="1">
      <c r="A7" s="23" t="s">
        <v>316</v>
      </c>
      <c r="B7" s="23" t="s">
        <v>317</v>
      </c>
      <c r="C7" s="23" t="s">
        <v>318</v>
      </c>
      <c r="D7" s="35" t="s">
        <v>312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8:8" ht="16.5" customHeight="1">
      <c r="A8" s="27" t="s">
        <v>319</v>
      </c>
      <c r="B8" s="27" t="s">
        <v>320</v>
      </c>
      <c r="C8" s="27" t="s">
        <v>321</v>
      </c>
      <c r="D8" s="36" t="s">
        <v>312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8:8" ht="16.5" customHeight="1">
      <c r="A9" s="23" t="s">
        <v>322</v>
      </c>
      <c r="B9" s="23" t="s">
        <v>323</v>
      </c>
      <c r="C9" s="23" t="s">
        <v>324</v>
      </c>
      <c r="D9" s="35" t="s">
        <v>312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8:8" ht="16.5" customHeight="1">
      <c r="A10" s="27" t="s">
        <v>325</v>
      </c>
      <c r="B10" s="27" t="s">
        <v>326</v>
      </c>
      <c r="C10" s="27" t="s">
        <v>327</v>
      </c>
      <c r="D10" s="36" t="s">
        <v>312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8:8" ht="16.5" customHeight="1">
      <c r="A11" s="23" t="s">
        <v>328</v>
      </c>
      <c r="B11" s="23" t="s">
        <v>329</v>
      </c>
      <c r="C11" s="23" t="s">
        <v>318</v>
      </c>
      <c r="D11" s="35" t="s">
        <v>312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8:8" ht="16.5" customHeight="1">
      <c r="A12" s="27" t="s">
        <v>330</v>
      </c>
      <c r="B12" s="27" t="s">
        <v>331</v>
      </c>
      <c r="C12" s="27" t="s">
        <v>332</v>
      </c>
      <c r="D12" s="36" t="s">
        <v>312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8:8" ht="15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8:8" ht="19.5" customHeight="1">
      <c r="A14" s="34" t="s">
        <v>333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</row>
    <row r="15" spans="8:8" ht="21.75" customHeight="1">
      <c r="A15" s="22" t="s">
        <v>334</v>
      </c>
      <c r="B15" s="22" t="s">
        <v>335</v>
      </c>
      <c r="C15" s="22" t="s">
        <v>336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8:8" ht="16.5" customHeight="1">
      <c r="A16" s="27" t="s">
        <v>337</v>
      </c>
      <c r="B16" s="27" t="s">
        <v>338</v>
      </c>
      <c r="C16" s="27" t="s">
        <v>339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8:8" ht="16.5" customHeight="1">
      <c r="A17" s="23" t="s">
        <v>340</v>
      </c>
      <c r="B17" s="23" t="s">
        <v>341</v>
      </c>
      <c r="C17" s="23" t="s">
        <v>342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8:8" ht="16.5" customHeight="1">
      <c r="A18" s="27" t="s">
        <v>5</v>
      </c>
      <c r="B18" s="27" t="s">
        <v>343</v>
      </c>
      <c r="C18" s="27" t="s">
        <v>344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8:8" ht="15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8:8" ht="19.5" customHeight="1">
      <c r="A20" s="34" t="s">
        <v>345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</row>
    <row r="21" spans="8:8" ht="21.75" customHeight="1">
      <c r="A21" s="22" t="s">
        <v>346</v>
      </c>
      <c r="B21" s="22" t="s">
        <v>347</v>
      </c>
      <c r="C21" s="22" t="s">
        <v>348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8:8" ht="16.5" customHeight="1">
      <c r="A22" s="27" t="s">
        <v>349</v>
      </c>
      <c r="B22" s="27" t="s">
        <v>350</v>
      </c>
      <c r="C22" s="27" t="s">
        <v>351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8:8" ht="16.5" customHeight="1">
      <c r="A23" s="23" t="s">
        <v>352</v>
      </c>
      <c r="B23" s="23" t="s">
        <v>353</v>
      </c>
      <c r="C23" s="23" t="s">
        <v>354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8:8" ht="16.5" customHeight="1">
      <c r="A24" s="27" t="s">
        <v>355</v>
      </c>
      <c r="B24" s="27" t="s">
        <v>356</v>
      </c>
      <c r="C24" s="27" t="s">
        <v>357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8:8" ht="16.5" customHeight="1">
      <c r="A25" s="23" t="s">
        <v>358</v>
      </c>
      <c r="B25" s="23" t="s">
        <v>359</v>
      </c>
      <c r="C25" s="23" t="s">
        <v>360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8:8" ht="16.5" customHeight="1">
      <c r="A26" s="27" t="s">
        <v>361</v>
      </c>
      <c r="B26" s="27" t="s">
        <v>362</v>
      </c>
      <c r="C26" s="27" t="s">
        <v>363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8:8" ht="16.5" customHeight="1">
      <c r="A27" s="23" t="s">
        <v>364</v>
      </c>
      <c r="B27" s="23" t="s">
        <v>365</v>
      </c>
      <c r="C27" s="23" t="s">
        <v>366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8:8" ht="16.5" customHeight="1">
      <c r="A28" s="27" t="s">
        <v>367</v>
      </c>
      <c r="B28" s="27" t="s">
        <v>368</v>
      </c>
      <c r="C28" s="27" t="s">
        <v>369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8:8" ht="16.5" customHeight="1">
      <c r="A29" s="23" t="s">
        <v>370</v>
      </c>
      <c r="B29" s="23" t="s">
        <v>371</v>
      </c>
      <c r="C29" s="23" t="s">
        <v>372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8:8" ht="15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8:8" ht="15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8:8" ht="15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8:8" ht="15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8:8" ht="15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8:8" ht="15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8:8" ht="15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8:8" ht="15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8:8" ht="15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8:8" ht="15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8:8" ht="15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8:8" ht="15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8:8" ht="15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8:8" ht="15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8:8" ht="15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8:8" ht="15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8:8" ht="15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8:8" ht="15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8:8" ht="15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8:8" ht="15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</sheetData>
  <mergeCells count="4">
    <mergeCell ref="A1:Q1"/>
    <mergeCell ref="A3:Q3"/>
    <mergeCell ref="A14:Q14"/>
    <mergeCell ref="A20:Q20"/>
  </mergeCells>
  <pageMargins left="0.75" right="0.75" top="1.0" bottom="1.0" header="0.511811023622047" footer="0.511811023622047"/>
  <pageSetup paperSize="9"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E8B84B"/>
  </sheetPr>
  <dimension ref="A1:I24"/>
  <sheetViews>
    <sheetView workbookViewId="0">
      <pane ySplit="2" topLeftCell="A3" state="frozen" activePane="bottomLeft"/>
      <selection pane="bottomLeft" activeCell="A1" sqref="A1:H1"/>
    </sheetView>
  </sheetViews>
  <sheetFormatPr defaultRowHeight="15.0" zeroHeight="1"/>
  <cols>
    <col min="1" max="1" customWidth="1" width="20.0" style="1"/>
    <col min="2" max="2" customWidth="1" width="16.0" style="1"/>
    <col min="3" max="4" customWidth="1" width="10.0" style="1"/>
    <col min="5" max="6" customWidth="1" width="16.0" style="1"/>
    <col min="7" max="7" customWidth="1" width="14.0" style="1"/>
    <col min="8" max="8" customWidth="1" width="8.0" style="1"/>
  </cols>
  <sheetData>
    <row r="1" spans="8:8" ht="33.75" customHeight="1">
      <c r="A1" s="21" t="s">
        <v>373</v>
      </c>
      <c r="B1" s="21"/>
      <c r="C1" s="21"/>
      <c r="D1" s="21"/>
      <c r="E1" s="21"/>
      <c r="F1" s="21"/>
      <c r="G1" s="21"/>
      <c r="H1" s="21"/>
    </row>
    <row r="3" spans="8:8" ht="19.5" customHeight="1">
      <c r="A3" s="34" t="s">
        <v>374</v>
      </c>
      <c r="B3" s="34"/>
      <c r="C3" s="34"/>
      <c r="D3" s="34"/>
      <c r="E3" s="34"/>
      <c r="F3" s="34"/>
      <c r="G3" s="34"/>
      <c r="H3" s="34"/>
    </row>
    <row r="4" spans="8:8" ht="21.75" customHeight="1">
      <c r="A4" s="22" t="s">
        <v>3</v>
      </c>
      <c r="B4" s="22" t="s">
        <v>2</v>
      </c>
      <c r="C4" s="22" t="s">
        <v>375</v>
      </c>
      <c r="D4" s="22" t="s">
        <v>376</v>
      </c>
      <c r="E4" s="22" t="s">
        <v>62</v>
      </c>
      <c r="F4" s="22" t="s">
        <v>377</v>
      </c>
      <c r="G4" s="22" t="s">
        <v>378</v>
      </c>
      <c r="H4" s="22" t="s">
        <v>379</v>
      </c>
    </row>
    <row r="5" spans="8:8" ht="16.5" customHeight="1">
      <c r="A5" s="23" t="s">
        <v>8</v>
      </c>
      <c r="B5" s="23">
        <f>COUNTIF('🛒 E-Commerce Dataset'!H:H,A5)</f>
        <v>15.0</v>
      </c>
      <c r="C5" s="24">
        <f>SUMIF('🛒 E-Commerce Dataset'!H:H,A5,'🛒 E-Commerce Dataset'!J:J)</f>
        <v>135.0</v>
      </c>
      <c r="D5" s="25">
        <f>SUMIF('🛒 E-Commerce Dataset'!H:H,A5,'🛒 E-Commerce Dataset'!L:L)</f>
        <v>3428000.0</v>
      </c>
      <c r="E5" s="25">
        <f>SUMIF('🛒 E-Commerce Dataset'!H:H,A5,'🛒 E-Commerce Dataset'!N:N)</f>
        <v>3175230.0</v>
      </c>
      <c r="F5" s="37">
        <f>_xlfn.IFERROR(_xlfn.AVERAGEIF('🛒 E-Commerce Dataset'!H:H,A5,'🛒 E-Commerce Dataset'!M:M),0)</f>
        <v>6.533333333333333</v>
      </c>
      <c r="G5" s="37">
        <f>_xlfn.IFERROR(D5/SUM($D$5:$D$10),0)</f>
        <v>0.6393971611362915</v>
      </c>
      <c r="H5" s="23">
        <f>RANK(D5,$D$5:$D$10,0)</f>
        <v>1.0</v>
      </c>
    </row>
    <row r="6" spans="8:8" ht="16.5" customHeight="1">
      <c r="A6" s="27" t="s">
        <v>13</v>
      </c>
      <c r="B6" s="27">
        <f>COUNTIF('🛒 E-Commerce Dataset'!H:H,A6)</f>
        <v>10.0</v>
      </c>
      <c r="C6" s="28">
        <f>SUMIF('🛒 E-Commerce Dataset'!H:H,A6,'🛒 E-Commerce Dataset'!J:J)</f>
        <v>170.0</v>
      </c>
      <c r="D6" s="29">
        <f>SUMIF('🛒 E-Commerce Dataset'!H:H,A6,'🛒 E-Commerce Dataset'!L:L)</f>
        <v>485700.0</v>
      </c>
      <c r="E6" s="29">
        <f>SUMIF('🛒 E-Commerce Dataset'!H:H,A6,'🛒 E-Commerce Dataset'!N:N)</f>
        <v>405050.0</v>
      </c>
      <c r="F6" s="38">
        <f>_xlfn.IFERROR(_xlfn.AVERAGEIF('🛒 E-Commerce Dataset'!H:H,A6,'🛒 E-Commerce Dataset'!M:M),0)</f>
        <v>16.0</v>
      </c>
      <c r="G6" s="38">
        <f>_xlfn.IFERROR(D6/SUM($D$5:$D$10),0)</f>
        <v>0.09059369928935146</v>
      </c>
      <c r="H6" s="27">
        <f>RANK(D6,$D$5:$D$10,0)</f>
        <v>3.0</v>
      </c>
    </row>
    <row r="7" spans="8:8" ht="16.5" customHeight="1">
      <c r="A7" s="23" t="s">
        <v>18</v>
      </c>
      <c r="B7" s="23">
        <f>COUNTIF('🛒 E-Commerce Dataset'!H:H,A7)</f>
        <v>10.0</v>
      </c>
      <c r="C7" s="24">
        <f>SUMIF('🛒 E-Commerce Dataset'!H:H,A7,'🛒 E-Commerce Dataset'!J:J)</f>
        <v>61.0</v>
      </c>
      <c r="D7" s="25">
        <f>SUMIF('🛒 E-Commerce Dataset'!H:H,A7,'🛒 E-Commerce Dataset'!L:L)</f>
        <v>468800.0</v>
      </c>
      <c r="E7" s="25">
        <f>SUMIF('🛒 E-Commerce Dataset'!H:H,A7,'🛒 E-Commerce Dataset'!N:N)</f>
        <v>429488.0</v>
      </c>
      <c r="F7" s="37">
        <f>_xlfn.IFERROR(_xlfn.AVERAGEIF('🛒 E-Commerce Dataset'!H:H,A7,'🛒 E-Commerce Dataset'!M:M),0)</f>
        <v>8.4</v>
      </c>
      <c r="G7" s="37">
        <f>_xlfn.IFERROR(D7/SUM($D$5:$D$10),0)</f>
        <v>0.08744147874582657</v>
      </c>
      <c r="H7" s="23">
        <f>RANK(D7,$D$5:$D$10,0)</f>
        <v>4.0</v>
      </c>
    </row>
    <row r="8" spans="8:8" ht="16.5" customHeight="1">
      <c r="A8" s="27" t="s">
        <v>23</v>
      </c>
      <c r="B8" s="27">
        <f>COUNTIF('🛒 E-Commerce Dataset'!H:H,A8)</f>
        <v>10.0</v>
      </c>
      <c r="C8" s="28">
        <f>SUMIF('🛒 E-Commerce Dataset'!H:H,A8,'🛒 E-Commerce Dataset'!J:J)</f>
        <v>127.0</v>
      </c>
      <c r="D8" s="29">
        <f>SUMIF('🛒 E-Commerce Dataset'!H:H,A8,'🛒 E-Commerce Dataset'!L:L)</f>
        <v>516000.0</v>
      </c>
      <c r="E8" s="29">
        <f>SUMIF('🛒 E-Commerce Dataset'!H:H,A8,'🛒 E-Commerce Dataset'!N:N)</f>
        <v>455640.0</v>
      </c>
      <c r="F8" s="38">
        <f>_xlfn.IFERROR(_xlfn.AVERAGEIF('🛒 E-Commerce Dataset'!H:H,A8,'🛒 E-Commerce Dataset'!M:M),0)</f>
        <v>11.4</v>
      </c>
      <c r="G8" s="38">
        <f>_xlfn.IFERROR(D8/SUM($D$5:$D$10),0)</f>
        <v>0.09624531363661798</v>
      </c>
      <c r="H8" s="27">
        <f>RANK(D8,$D$5:$D$10,0)</f>
        <v>2.0</v>
      </c>
    </row>
    <row r="9" spans="8:8" ht="16.5" customHeight="1">
      <c r="A9" s="23" t="s">
        <v>27</v>
      </c>
      <c r="B9" s="23">
        <f>COUNTIF('🛒 E-Commerce Dataset'!H:H,A9)</f>
        <v>7.0</v>
      </c>
      <c r="C9" s="24">
        <f>SUMIF('🛒 E-Commerce Dataset'!H:H,A9,'🛒 E-Commerce Dataset'!J:J)</f>
        <v>215.0</v>
      </c>
      <c r="D9" s="25">
        <f>SUMIF('🛒 E-Commerce Dataset'!H:H,A9,'🛒 E-Commerce Dataset'!L:L)</f>
        <v>104000.0</v>
      </c>
      <c r="E9" s="25">
        <f>SUMIF('🛒 E-Commerce Dataset'!H:H,A9,'🛒 E-Commerce Dataset'!N:N)</f>
        <v>104000.0</v>
      </c>
      <c r="F9" s="37">
        <f>_xlfn.IFERROR(_xlfn.AVERAGEIF('🛒 E-Commerce Dataset'!H:H,A9,'🛒 E-Commerce Dataset'!M:M),0)</f>
        <v>0.0</v>
      </c>
      <c r="G9" s="37">
        <f>_xlfn.IFERROR(D9/SUM($D$5:$D$10),0)</f>
        <v>0.019398280267845486</v>
      </c>
      <c r="H9" s="23">
        <f>RANK(D9,$D$5:$D$10,0)</f>
        <v>6.0</v>
      </c>
    </row>
    <row r="10" spans="8:8" ht="16.5" customHeight="1">
      <c r="A10" s="27" t="s">
        <v>30</v>
      </c>
      <c r="B10" s="27">
        <f>COUNTIF('🛒 E-Commerce Dataset'!H:H,A10)</f>
        <v>8.0</v>
      </c>
      <c r="C10" s="28">
        <f>SUMIF('🛒 E-Commerce Dataset'!H:H,A10,'🛒 E-Commerce Dataset'!J:J)</f>
        <v>158.0</v>
      </c>
      <c r="D10" s="29">
        <f>SUMIF('🛒 E-Commerce Dataset'!H:H,A10,'🛒 E-Commerce Dataset'!L:L)</f>
        <v>358800.0</v>
      </c>
      <c r="E10" s="29">
        <f>SUMIF('🛒 E-Commerce Dataset'!H:H,A10,'🛒 E-Commerce Dataset'!N:N)</f>
        <v>301722.0</v>
      </c>
      <c r="F10" s="38">
        <f>_xlfn.IFERROR(_xlfn.AVERAGEIF('🛒 E-Commerce Dataset'!H:H,A10,'🛒 E-Commerce Dataset'!M:M),0)</f>
        <v>16.375</v>
      </c>
      <c r="G10" s="38">
        <f>_xlfn.IFERROR(D10/SUM($D$5:$D$10),0)</f>
        <v>0.06692406692406692</v>
      </c>
      <c r="H10" s="27">
        <f>RANK(D10,$D$5:$D$10,0)</f>
        <v>5.0</v>
      </c>
    </row>
    <row r="11" spans="8:8" ht="21.75" customHeight="1">
      <c r="A11" s="31" t="s">
        <v>380</v>
      </c>
      <c r="B11" s="31">
        <f>SUM(B5:B10)</f>
        <v>60.0</v>
      </c>
      <c r="C11" s="32">
        <f>SUM(C5:C10)</f>
        <v>866.0</v>
      </c>
      <c r="D11" s="33">
        <f>SUM(D5:D10)</f>
        <v>5361300.0</v>
      </c>
      <c r="E11" s="33">
        <f>SUM(E5:E10)</f>
        <v>4871130.0</v>
      </c>
      <c r="F11" s="39">
        <f>AVERAGE(F5:F10)</f>
        <v>9.784722222222221</v>
      </c>
      <c r="G11" s="39">
        <f>SUM(G5:G10)</f>
        <v>0.9999999999999999</v>
      </c>
      <c r="H11" s="31"/>
    </row>
    <row r="13" spans="8:8" ht="19.5" customHeight="1">
      <c r="A13" s="34" t="s">
        <v>381</v>
      </c>
      <c r="B13" s="34"/>
      <c r="C13" s="34"/>
      <c r="D13" s="34"/>
      <c r="E13" s="34"/>
      <c r="F13" s="34"/>
      <c r="G13" s="34"/>
      <c r="H13" s="34"/>
    </row>
    <row r="14" spans="8:8" ht="21.75" customHeight="1">
      <c r="A14" s="22" t="s">
        <v>57</v>
      </c>
      <c r="B14" s="22" t="s">
        <v>3</v>
      </c>
      <c r="C14" s="22" t="s">
        <v>2</v>
      </c>
      <c r="D14" s="22" t="s">
        <v>58</v>
      </c>
      <c r="E14" s="22" t="s">
        <v>60</v>
      </c>
      <c r="F14" s="22" t="s">
        <v>382</v>
      </c>
      <c r="G14" s="22" t="s">
        <v>383</v>
      </c>
      <c r="H14" s="22" t="s">
        <v>379</v>
      </c>
    </row>
    <row r="15" spans="8:8" ht="16.5" customHeight="1">
      <c r="A15" s="23" t="s">
        <v>67</v>
      </c>
      <c r="B15" s="23" t="s">
        <v>8</v>
      </c>
      <c r="C15" s="23">
        <f>COUNTIF('🛒 E-Commerce Dataset'!I:I,A15)</f>
        <v>7.0</v>
      </c>
      <c r="D15" s="24">
        <f>SUMIF('🛒 E-Commerce Dataset'!I:I,A15,'🛒 E-Commerce Dataset'!J:J)</f>
        <v>38.0</v>
      </c>
      <c r="E15" s="25">
        <f>SUMIF('🛒 E-Commerce Dataset'!I:I,A15,'🛒 E-Commerce Dataset'!L:L)</f>
        <v>2204000.0</v>
      </c>
      <c r="F15" s="25">
        <f>SUMIF('🛒 E-Commerce Dataset'!I:I,A15,'🛒 E-Commerce Dataset'!N:N)</f>
        <v>2021880.0</v>
      </c>
      <c r="G15" s="25">
        <f>_xlfn.IFERROR(E15/C15,0)</f>
        <v>314857.14285714284</v>
      </c>
      <c r="H15" s="23">
        <f>RANK(E15,$E$15:$E$24,0)</f>
        <v>1.0</v>
      </c>
    </row>
    <row r="16" spans="8:8" ht="16.5" customHeight="1">
      <c r="A16" s="27" t="s">
        <v>154</v>
      </c>
      <c r="B16" s="27" t="s">
        <v>8</v>
      </c>
      <c r="C16" s="27">
        <f>COUNTIF('🛒 E-Commerce Dataset'!I:I,A16)</f>
        <v>2.0</v>
      </c>
      <c r="D16" s="28">
        <f>SUMIF('🛒 E-Commerce Dataset'!I:I,A16,'🛒 E-Commerce Dataset'!J:J)</f>
        <v>5.0</v>
      </c>
      <c r="E16" s="29">
        <f>SUMIF('🛒 E-Commerce Dataset'!I:I,A16,'🛒 E-Commerce Dataset'!L:L)</f>
        <v>225000.0</v>
      </c>
      <c r="F16" s="29">
        <f>SUMIF('🛒 E-Commerce Dataset'!I:I,A16,'🛒 E-Commerce Dataset'!N:N)</f>
        <v>204300.0</v>
      </c>
      <c r="G16" s="29">
        <f>_xlfn.IFERROR(E16/C16,0)</f>
        <v>112500.0</v>
      </c>
      <c r="H16" s="27">
        <f>RANK(E16,$E$15:$E$24,0)</f>
        <v>4.0</v>
      </c>
    </row>
    <row r="17" spans="8:8" ht="16.5" customHeight="1">
      <c r="A17" s="23" t="s">
        <v>100</v>
      </c>
      <c r="B17" s="23" t="s">
        <v>8</v>
      </c>
      <c r="C17" s="23">
        <f>COUNTIF('🛒 E-Commerce Dataset'!I:I,A17)</f>
        <v>2.0</v>
      </c>
      <c r="D17" s="24">
        <f>SUMIF('🛒 E-Commerce Dataset'!I:I,A17,'🛒 E-Commerce Dataset'!J:J)</f>
        <v>25.0</v>
      </c>
      <c r="E17" s="25">
        <f>SUMIF('🛒 E-Commerce Dataset'!I:I,A17,'🛒 E-Commerce Dataset'!L:L)</f>
        <v>450000.0</v>
      </c>
      <c r="F17" s="25">
        <f>SUMIF('🛒 E-Commerce Dataset'!I:I,A17,'🛒 E-Commerce Dataset'!N:N)</f>
        <v>427500.0</v>
      </c>
      <c r="G17" s="25">
        <f>_xlfn.IFERROR(E17/C17,0)</f>
        <v>225000.0</v>
      </c>
      <c r="H17" s="23">
        <f>RANK(E17,$E$15:$E$24,0)</f>
        <v>2.0</v>
      </c>
    </row>
    <row r="18" spans="8:8" ht="16.5" customHeight="1">
      <c r="A18" s="27" t="s">
        <v>79</v>
      </c>
      <c r="B18" s="27" t="s">
        <v>8</v>
      </c>
      <c r="C18" s="27">
        <f>COUNTIF('🛒 E-Commerce Dataset'!I:I,A18)</f>
        <v>2.0</v>
      </c>
      <c r="D18" s="28">
        <f>SUMIF('🛒 E-Commerce Dataset'!I:I,A18,'🛒 E-Commerce Dataset'!J:J)</f>
        <v>12.0</v>
      </c>
      <c r="E18" s="29">
        <f>SUMIF('🛒 E-Commerce Dataset'!I:I,A18,'🛒 E-Commerce Dataset'!L:L)</f>
        <v>264000.0</v>
      </c>
      <c r="F18" s="29">
        <f>SUMIF('🛒 E-Commerce Dataset'!I:I,A18,'🛒 E-Commerce Dataset'!N:N)</f>
        <v>250800.0</v>
      </c>
      <c r="G18" s="29">
        <f>_xlfn.IFERROR(E18/C18,0)</f>
        <v>132000.0</v>
      </c>
      <c r="H18" s="27">
        <f>RANK(E18,$E$15:$E$24,0)</f>
        <v>3.0</v>
      </c>
    </row>
    <row r="19" spans="8:8" ht="16.5" customHeight="1">
      <c r="A19" s="23" t="s">
        <v>113</v>
      </c>
      <c r="B19" s="23" t="s">
        <v>8</v>
      </c>
      <c r="C19" s="23">
        <f>COUNTIF('🛒 E-Commerce Dataset'!I:I,A19)</f>
        <v>1.0</v>
      </c>
      <c r="D19" s="24">
        <f>SUMIF('🛒 E-Commerce Dataset'!I:I,A19,'🛒 E-Commerce Dataset'!J:J)</f>
        <v>5.0</v>
      </c>
      <c r="E19" s="25">
        <f>SUMIF('🛒 E-Commerce Dataset'!I:I,A19,'🛒 E-Commerce Dataset'!L:L)</f>
        <v>160000.0</v>
      </c>
      <c r="F19" s="25">
        <f>SUMIF('🛒 E-Commerce Dataset'!I:I,A19,'🛒 E-Commerce Dataset'!N:N)</f>
        <v>152000.0</v>
      </c>
      <c r="G19" s="25">
        <f>_xlfn.IFERROR(E19/C19,0)</f>
        <v>160000.0</v>
      </c>
      <c r="H19" s="23">
        <f>RANK(E19,$E$15:$E$24,0)</f>
        <v>5.0</v>
      </c>
    </row>
    <row r="20" spans="8:8" ht="16.5" customHeight="1">
      <c r="A20" s="27" t="s">
        <v>138</v>
      </c>
      <c r="B20" s="27" t="s">
        <v>13</v>
      </c>
      <c r="C20" s="27">
        <f>COUNTIF('🛒 E-Commerce Dataset'!I:I,A20)</f>
        <v>1.0</v>
      </c>
      <c r="D20" s="28">
        <f>SUMIF('🛒 E-Commerce Dataset'!I:I,A20,'🛒 E-Commerce Dataset'!J:J)</f>
        <v>8.0</v>
      </c>
      <c r="E20" s="29">
        <f>SUMIF('🛒 E-Commerce Dataset'!I:I,A20,'🛒 E-Commerce Dataset'!L:L)</f>
        <v>36000.0</v>
      </c>
      <c r="F20" s="29">
        <f>SUMIF('🛒 E-Commerce Dataset'!I:I,A20,'🛒 E-Commerce Dataset'!N:N)</f>
        <v>30600.0</v>
      </c>
      <c r="G20" s="29">
        <f>_xlfn.IFERROR(E20/C20,0)</f>
        <v>36000.0</v>
      </c>
      <c r="H20" s="27">
        <f>RANK(E20,$E$15:$E$24,0)</f>
        <v>9.0</v>
      </c>
    </row>
    <row r="21" spans="8:8" ht="16.5" customHeight="1">
      <c r="A21" s="23" t="s">
        <v>71</v>
      </c>
      <c r="B21" s="23" t="s">
        <v>13</v>
      </c>
      <c r="C21" s="23">
        <f>COUNTIF('🛒 E-Commerce Dataset'!I:I,A21)</f>
        <v>1.0</v>
      </c>
      <c r="D21" s="24">
        <f>SUMIF('🛒 E-Commerce Dataset'!I:I,A21,'🛒 E-Commerce Dataset'!J:J)</f>
        <v>5.0</v>
      </c>
      <c r="E21" s="25">
        <f>SUMIF('🛒 E-Commerce Dataset'!I:I,A21,'🛒 E-Commerce Dataset'!L:L)</f>
        <v>22500.0</v>
      </c>
      <c r="F21" s="25">
        <f>SUMIF('🛒 E-Commerce Dataset'!I:I,A21,'🛒 E-Commerce Dataset'!N:N)</f>
        <v>20250.0</v>
      </c>
      <c r="G21" s="25">
        <f>_xlfn.IFERROR(E21/C21,0)</f>
        <v>22500.0</v>
      </c>
      <c r="H21" s="23">
        <f>RANK(E21,$E$15:$E$24,0)</f>
        <v>10.0</v>
      </c>
    </row>
    <row r="22" spans="8:8" ht="16.5" customHeight="1">
      <c r="A22" s="27" t="s">
        <v>131</v>
      </c>
      <c r="B22" s="27" t="s">
        <v>18</v>
      </c>
      <c r="C22" s="27">
        <f>COUNTIF('🛒 E-Commerce Dataset'!I:I,A22)</f>
        <v>1.0</v>
      </c>
      <c r="D22" s="28">
        <f>SUMIF('🛒 E-Commerce Dataset'!I:I,A22,'🛒 E-Commerce Dataset'!J:J)</f>
        <v>4.0</v>
      </c>
      <c r="E22" s="29">
        <f>SUMIF('🛒 E-Commerce Dataset'!I:I,A22,'🛒 E-Commerce Dataset'!L:L)</f>
        <v>48000.0</v>
      </c>
      <c r="F22" s="29">
        <f>SUMIF('🛒 E-Commerce Dataset'!I:I,A22,'🛒 E-Commerce Dataset'!N:N)</f>
        <v>44160.0</v>
      </c>
      <c r="G22" s="29">
        <f>_xlfn.IFERROR(E22/C22,0)</f>
        <v>48000.0</v>
      </c>
      <c r="H22" s="27">
        <f>RANK(E22,$E$15:$E$24,0)</f>
        <v>7.0</v>
      </c>
    </row>
    <row r="23" spans="8:8" ht="16.5" customHeight="1">
      <c r="A23" s="23" t="s">
        <v>190</v>
      </c>
      <c r="B23" s="23" t="s">
        <v>23</v>
      </c>
      <c r="C23" s="23">
        <f>COUNTIF('🛒 E-Commerce Dataset'!I:I,A23)</f>
        <v>1.0</v>
      </c>
      <c r="D23" s="24">
        <f>SUMIF('🛒 E-Commerce Dataset'!I:I,A23,'🛒 E-Commerce Dataset'!J:J)</f>
        <v>1.0</v>
      </c>
      <c r="E23" s="25">
        <f>SUMIF('🛒 E-Commerce Dataset'!I:I,A23,'🛒 E-Commerce Dataset'!L:L)</f>
        <v>45000.0</v>
      </c>
      <c r="F23" s="25">
        <f>SUMIF('🛒 E-Commerce Dataset'!I:I,A23,'🛒 E-Commerce Dataset'!N:N)</f>
        <v>40500.0</v>
      </c>
      <c r="G23" s="25">
        <f>_xlfn.IFERROR(E23/C23,0)</f>
        <v>45000.0</v>
      </c>
      <c r="H23" s="23">
        <f>RANK(E23,$E$15:$E$24,0)</f>
        <v>8.0</v>
      </c>
    </row>
    <row r="24" spans="8:8" ht="16.5" customHeight="1">
      <c r="A24" s="27" t="s">
        <v>282</v>
      </c>
      <c r="B24" s="27" t="s">
        <v>23</v>
      </c>
      <c r="C24" s="27">
        <f>COUNTIF('🛒 E-Commerce Dataset'!I:I,A24)</f>
        <v>1.0</v>
      </c>
      <c r="D24" s="28">
        <f>SUMIF('🛒 E-Commerce Dataset'!I:I,A24,'🛒 E-Commerce Dataset'!J:J)</f>
        <v>2.0</v>
      </c>
      <c r="E24" s="29">
        <f>SUMIF('🛒 E-Commerce Dataset'!I:I,A24,'🛒 E-Commerce Dataset'!L:L)</f>
        <v>110000.0</v>
      </c>
      <c r="F24" s="29">
        <f>SUMIF('🛒 E-Commerce Dataset'!I:I,A24,'🛒 E-Commerce Dataset'!N:N)</f>
        <v>93500.0</v>
      </c>
      <c r="G24" s="29">
        <f>_xlfn.IFERROR(E24/C24,0)</f>
        <v>110000.0</v>
      </c>
      <c r="H24" s="27">
        <f>RANK(E24,$E$15:$E$24,0)</f>
        <v>6.0</v>
      </c>
    </row>
  </sheetData>
  <mergeCells count="3">
    <mergeCell ref="A1:H1"/>
    <mergeCell ref="A3:H3"/>
    <mergeCell ref="A13:H13"/>
  </mergeCells>
  <conditionalFormatting sqref="E15:E24">
    <cfRule type="dataBar" priority="4">
      <dataBar>
        <cfvo type="num" val="0"/>
        <cfvo type="max"/>
        <color rgb="FF7B5CF6"/>
      </dataBar>
    </cfRule>
    <cfRule type="dataBar" priority="32767">
      <dataBar>
        <cfvo type="num" val="0"/>
        <cfvo type="max"/>
        <color rgb="FF000000"/>
      </dataBar>
    </cfRule>
  </conditionalFormatting>
  <conditionalFormatting sqref="D5:D10">
    <cfRule type="dataBar" priority="2">
      <dataBar>
        <cfvo type="num" val="0"/>
        <cfvo type="max"/>
        <color rgb="FFE8B84B"/>
      </dataBar>
    </cfRule>
    <cfRule type="dataBar" priority="32767">
      <dataBar>
        <cfvo type="num" val="0"/>
        <cfvo type="max"/>
        <color rgb="FF000000"/>
      </dataBar>
    </cfRule>
  </conditionalFormatting>
  <conditionalFormatting sqref="G5:G10">
    <cfRule type="dataBar" priority="32767">
      <dataBar>
        <cfvo type="num" val="0"/>
        <cfvo type="max"/>
        <color rgb="FF000000"/>
      </dataBar>
    </cfRule>
    <cfRule type="dataBar" priority="3">
      <dataBar>
        <cfvo type="num" val="0"/>
        <cfvo type="max"/>
        <color rgb="FF00B4D8"/>
      </dataBar>
    </cfRule>
  </conditionalFormatting>
  <pageMargins left="0.75" right="0.75" top="1.0" bottom="1.0" header="0.511811023622047" footer="0.511811023622047"/>
  <pageSetup paperSize="9"/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00A86B"/>
  </sheetPr>
  <dimension ref="A1:I25"/>
  <sheetViews>
    <sheetView workbookViewId="0">
      <pane ySplit="2" topLeftCell="A3" state="frozen" activePane="bottomLeft"/>
      <selection pane="bottomLeft" activeCell="A1" sqref="A1:H1"/>
    </sheetView>
  </sheetViews>
  <sheetFormatPr defaultRowHeight="15.0" zeroHeight="1"/>
  <cols>
    <col min="1" max="2" customWidth="1" width="14.0" style="1"/>
    <col min="3" max="3" customWidth="1" width="10.0" style="1"/>
    <col min="4" max="5" customWidth="1" width="16.0" style="1"/>
    <col min="6" max="7" customWidth="1" width="14.0" style="1"/>
    <col min="8" max="8" customWidth="1" width="8.0" style="1"/>
  </cols>
  <sheetData>
    <row r="1" spans="8:8" ht="33.75" customHeight="1">
      <c r="A1" s="21" t="s">
        <v>384</v>
      </c>
      <c r="B1" s="21"/>
      <c r="C1" s="21"/>
      <c r="D1" s="21"/>
      <c r="E1" s="21"/>
      <c r="F1" s="21"/>
      <c r="G1" s="21"/>
      <c r="H1" s="21"/>
    </row>
    <row r="3" spans="8:8" ht="19.5" customHeight="1">
      <c r="A3" s="34" t="s">
        <v>385</v>
      </c>
      <c r="B3" s="34"/>
      <c r="C3" s="34"/>
      <c r="D3" s="34"/>
      <c r="E3" s="34"/>
      <c r="F3" s="34"/>
      <c r="G3" s="34"/>
      <c r="H3" s="34"/>
    </row>
    <row r="4" spans="8:8" ht="21.75" customHeight="1">
      <c r="A4" s="22" t="s">
        <v>4</v>
      </c>
      <c r="B4" s="22" t="s">
        <v>2</v>
      </c>
      <c r="C4" s="22" t="s">
        <v>375</v>
      </c>
      <c r="D4" s="22" t="s">
        <v>376</v>
      </c>
      <c r="E4" s="22" t="s">
        <v>62</v>
      </c>
      <c r="F4" s="22" t="s">
        <v>386</v>
      </c>
      <c r="G4" s="22" t="s">
        <v>378</v>
      </c>
      <c r="H4" s="22" t="s">
        <v>379</v>
      </c>
    </row>
    <row r="5" spans="8:8" ht="16.5" customHeight="1">
      <c r="A5" s="23" t="s">
        <v>9</v>
      </c>
      <c r="B5" s="23">
        <f>COUNTIF('🛒 E-Commerce Dataset'!F:F,A5)</f>
        <v>16.0</v>
      </c>
      <c r="C5" s="24">
        <f>SUMIF('🛒 E-Commerce Dataset'!F:F,A5,'🛒 E-Commerce Dataset'!J:J)</f>
        <v>258.0</v>
      </c>
      <c r="D5" s="25">
        <f>SUMIF('🛒 E-Commerce Dataset'!F:F,A5,'🛒 E-Commerce Dataset'!L:L)</f>
        <v>2449000.0</v>
      </c>
      <c r="E5" s="25">
        <f>SUMIF('🛒 E-Commerce Dataset'!F:F,A5,'🛒 E-Commerce Dataset'!N:N)</f>
        <v>2238910.0</v>
      </c>
      <c r="F5" s="25">
        <f>_xlfn.IFERROR(D5/B5,0)</f>
        <v>153062.5</v>
      </c>
      <c r="G5" s="37">
        <f>_xlfn.IFERROR(D5/SUM($D$5:$D$9),0)</f>
        <v>0.4567921959226307</v>
      </c>
      <c r="H5" s="23">
        <f>RANK(D5,$D$5:$D$9,0)</f>
        <v>1.0</v>
      </c>
    </row>
    <row r="6" spans="8:8" ht="16.5" customHeight="1">
      <c r="A6" s="27" t="s">
        <v>14</v>
      </c>
      <c r="B6" s="27">
        <f>COUNTIF('🛒 E-Commerce Dataset'!F:F,A6)</f>
        <v>12.0</v>
      </c>
      <c r="C6" s="28">
        <f>SUMIF('🛒 E-Commerce Dataset'!F:F,A6,'🛒 E-Commerce Dataset'!J:J)</f>
        <v>76.0</v>
      </c>
      <c r="D6" s="29">
        <f>SUMIF('🛒 E-Commerce Dataset'!F:F,A6,'🛒 E-Commerce Dataset'!L:L)</f>
        <v>1547000.0</v>
      </c>
      <c r="E6" s="29">
        <f>SUMIF('🛒 E-Commerce Dataset'!F:F,A6,'🛒 E-Commerce Dataset'!N:N)</f>
        <v>1413350.0</v>
      </c>
      <c r="F6" s="29">
        <f>_xlfn.IFERROR(D6/B6,0)</f>
        <v>128916.66666666667</v>
      </c>
      <c r="G6" s="38">
        <f>_xlfn.IFERROR(D6/SUM($D$5:$D$9),0)</f>
        <v>0.2885494189842016</v>
      </c>
      <c r="H6" s="27">
        <f>RANK(D6,$D$5:$D$9,0)</f>
        <v>2.0</v>
      </c>
    </row>
    <row r="7" spans="8:8" ht="16.5" customHeight="1">
      <c r="A7" s="23" t="s">
        <v>19</v>
      </c>
      <c r="B7" s="23">
        <f>COUNTIF('🛒 E-Commerce Dataset'!F:F,A7)</f>
        <v>12.0</v>
      </c>
      <c r="C7" s="24">
        <f>SUMIF('🛒 E-Commerce Dataset'!F:F,A7,'🛒 E-Commerce Dataset'!J:J)</f>
        <v>157.0</v>
      </c>
      <c r="D7" s="25">
        <f>SUMIF('🛒 E-Commerce Dataset'!F:F,A7,'🛒 E-Commerce Dataset'!L:L)</f>
        <v>704300.0</v>
      </c>
      <c r="E7" s="25">
        <f>SUMIF('🛒 E-Commerce Dataset'!F:F,A7,'🛒 E-Commerce Dataset'!N:N)</f>
        <v>624248.0</v>
      </c>
      <c r="F7" s="25">
        <f>_xlfn.IFERROR(D7/B7,0)</f>
        <v>58691.666666666664</v>
      </c>
      <c r="G7" s="37">
        <f>_xlfn.IFERROR(D7/SUM($D$5:$D$9),0)</f>
        <v>0.13136739223695745</v>
      </c>
      <c r="H7" s="23">
        <f>RANK(D7,$D$5:$D$9,0)</f>
        <v>3.0</v>
      </c>
    </row>
    <row r="8" spans="8:8" ht="16.5" customHeight="1">
      <c r="A8" s="27" t="s">
        <v>24</v>
      </c>
      <c r="B8" s="27">
        <f>COUNTIF('🛒 E-Commerce Dataset'!F:F,A8)</f>
        <v>12.0</v>
      </c>
      <c r="C8" s="28">
        <f>SUMIF('🛒 E-Commerce Dataset'!F:F,A8,'🛒 E-Commerce Dataset'!J:J)</f>
        <v>135.0</v>
      </c>
      <c r="D8" s="29">
        <f>SUMIF('🛒 E-Commerce Dataset'!F:F,A8,'🛒 E-Commerce Dataset'!L:L)</f>
        <v>469500.0</v>
      </c>
      <c r="E8" s="29">
        <f>SUMIF('🛒 E-Commerce Dataset'!F:F,A8,'🛒 E-Commerce Dataset'!N:N)</f>
        <v>411872.0</v>
      </c>
      <c r="F8" s="29">
        <f>_xlfn.IFERROR(D8/B8,0)</f>
        <v>39125.0</v>
      </c>
      <c r="G8" s="38">
        <f>_xlfn.IFERROR(D8/SUM($D$5:$D$9),0)</f>
        <v>0.08757204409378322</v>
      </c>
      <c r="H8" s="27">
        <f>RANK(D8,$D$5:$D$9,0)</f>
        <v>4.0</v>
      </c>
    </row>
    <row r="9" spans="8:8" ht="16.5" customHeight="1">
      <c r="A9" s="23" t="s">
        <v>28</v>
      </c>
      <c r="B9" s="23">
        <f>COUNTIF('🛒 E-Commerce Dataset'!F:F,A9)</f>
        <v>8.0</v>
      </c>
      <c r="C9" s="24">
        <f>SUMIF('🛒 E-Commerce Dataset'!F:F,A9,'🛒 E-Commerce Dataset'!J:J)</f>
        <v>240.0</v>
      </c>
      <c r="D9" s="25">
        <f>SUMIF('🛒 E-Commerce Dataset'!F:F,A9,'🛒 E-Commerce Dataset'!L:L)</f>
        <v>191500.0</v>
      </c>
      <c r="E9" s="25">
        <f>SUMIF('🛒 E-Commerce Dataset'!F:F,A9,'🛒 E-Commerce Dataset'!N:N)</f>
        <v>182750.0</v>
      </c>
      <c r="F9" s="25">
        <f>_xlfn.IFERROR(D9/B9,0)</f>
        <v>23937.5</v>
      </c>
      <c r="G9" s="37">
        <f>_xlfn.IFERROR(D9/SUM($D$5:$D$9),0)</f>
        <v>0.035718948762427025</v>
      </c>
      <c r="H9" s="23">
        <f>RANK(D9,$D$5:$D$9,0)</f>
        <v>5.0</v>
      </c>
    </row>
    <row r="10" spans="8:8" ht="21.75" customHeight="1">
      <c r="A10" s="31" t="s">
        <v>380</v>
      </c>
      <c r="B10" s="31">
        <f>SUM(B5:B9)</f>
        <v>60.0</v>
      </c>
      <c r="C10" s="32">
        <f>SUM(C5:C9)</f>
        <v>866.0</v>
      </c>
      <c r="D10" s="33">
        <f>SUM(D5:D9)</f>
        <v>5361300.0</v>
      </c>
      <c r="E10" s="33">
        <f>SUM(E5:E9)</f>
        <v>4871130.0</v>
      </c>
      <c r="F10" s="33">
        <f>AVERAGE(F5:F9)</f>
        <v>80746.66666666667</v>
      </c>
      <c r="G10" s="39">
        <f>SUM(G5:G9)</f>
        <v>1.0</v>
      </c>
      <c r="H10" s="31"/>
    </row>
    <row r="12" spans="8:8" ht="19.5" customHeight="1">
      <c r="A12" s="34" t="s">
        <v>387</v>
      </c>
      <c r="B12" s="34"/>
      <c r="C12" s="34"/>
      <c r="D12" s="34"/>
      <c r="E12" s="34"/>
      <c r="F12" s="34"/>
      <c r="G12" s="34"/>
      <c r="H12" s="34"/>
    </row>
    <row r="13" spans="8:8" ht="21.75" customHeight="1">
      <c r="A13" s="22" t="s">
        <v>4</v>
      </c>
      <c r="B13" s="22" t="s">
        <v>6</v>
      </c>
      <c r="C13" s="22" t="s">
        <v>2</v>
      </c>
      <c r="D13" s="22" t="s">
        <v>60</v>
      </c>
      <c r="E13" s="22" t="s">
        <v>62</v>
      </c>
      <c r="F13" s="22" t="s">
        <v>377</v>
      </c>
    </row>
    <row r="14" spans="8:8" ht="16.5" customHeight="1">
      <c r="A14" s="27" t="s">
        <v>9</v>
      </c>
      <c r="B14" s="27" t="s">
        <v>11</v>
      </c>
      <c r="C14" s="27">
        <f>_xlfn.COUNTIFS('🛒 E-Commerce Dataset'!F:F,A14,'🛒 E-Commerce Dataset'!G:G,B14)</f>
        <v>11.0</v>
      </c>
      <c r="D14" s="29">
        <f>_xlfn.SUMIFS('🛒 E-Commerce Dataset'!L:L,'🛒 E-Commerce Dataset'!F:F,A14,'🛒 E-Commerce Dataset'!G:G,B14)</f>
        <v>2022000.0</v>
      </c>
      <c r="E14" s="29">
        <f>_xlfn.SUMIFS('🛒 E-Commerce Dataset'!N:N,'🛒 E-Commerce Dataset'!F:F,A14,'🛒 E-Commerce Dataset'!G:G,B14)</f>
        <v>1846320.0</v>
      </c>
      <c r="F14" s="38">
        <f>_xlfn.IFERROR(_xlfn.AVERAGEIFS('🛒 E-Commerce Dataset'!M:M,'🛒 E-Commerce Dataset'!F:F,A14,'🛒 E-Commerce Dataset'!G:G,B14),0)</f>
        <v>10.0</v>
      </c>
    </row>
    <row r="15" spans="8:8" ht="16.5" customHeight="1">
      <c r="A15" s="23" t="s">
        <v>9</v>
      </c>
      <c r="B15" s="23" t="s">
        <v>16</v>
      </c>
      <c r="C15" s="23">
        <f>_xlfn.COUNTIFS('🛒 E-Commerce Dataset'!F:F,A15,'🛒 E-Commerce Dataset'!G:G,B15)</f>
        <v>1.0</v>
      </c>
      <c r="D15" s="25">
        <f>_xlfn.SUMIFS('🛒 E-Commerce Dataset'!L:L,'🛒 E-Commerce Dataset'!F:F,A15,'🛒 E-Commerce Dataset'!G:G,B15)</f>
        <v>160000.0</v>
      </c>
      <c r="E15" s="25">
        <f>_xlfn.SUMIFS('🛒 E-Commerce Dataset'!N:N,'🛒 E-Commerce Dataset'!F:F,A15,'🛒 E-Commerce Dataset'!G:G,B15)</f>
        <v>152000.0</v>
      </c>
      <c r="F15" s="37">
        <f>_xlfn.IFERROR(_xlfn.AVERAGEIFS('🛒 E-Commerce Dataset'!M:M,'🛒 E-Commerce Dataset'!F:F,A15,'🛒 E-Commerce Dataset'!G:G,B15),0)</f>
        <v>5.0</v>
      </c>
    </row>
    <row r="16" spans="8:8" ht="16.5" customHeight="1">
      <c r="A16" s="27" t="s">
        <v>9</v>
      </c>
      <c r="B16" s="27" t="s">
        <v>21</v>
      </c>
      <c r="C16" s="27">
        <f>_xlfn.COUNTIFS('🛒 E-Commerce Dataset'!F:F,A16,'🛒 E-Commerce Dataset'!G:G,B16)</f>
        <v>4.0</v>
      </c>
      <c r="D16" s="29">
        <f>_xlfn.SUMIFS('🛒 E-Commerce Dataset'!L:L,'🛒 E-Commerce Dataset'!F:F,A16,'🛒 E-Commerce Dataset'!G:G,B16)</f>
        <v>267000.0</v>
      </c>
      <c r="E16" s="29">
        <f>_xlfn.SUMIFS('🛒 E-Commerce Dataset'!N:N,'🛒 E-Commerce Dataset'!F:F,A16,'🛒 E-Commerce Dataset'!G:G,B16)</f>
        <v>240590.0</v>
      </c>
      <c r="F16" s="38">
        <f>_xlfn.IFERROR(_xlfn.AVERAGEIFS('🛒 E-Commerce Dataset'!M:M,'🛒 E-Commerce Dataset'!F:F,A16,'🛒 E-Commerce Dataset'!G:G,B16),0)</f>
        <v>13.0</v>
      </c>
    </row>
    <row r="17" spans="8:8" ht="16.5" customHeight="1">
      <c r="A17" s="23" t="s">
        <v>14</v>
      </c>
      <c r="B17" s="23" t="s">
        <v>11</v>
      </c>
      <c r="C17" s="23">
        <f>_xlfn.COUNTIFS('🛒 E-Commerce Dataset'!F:F,A17,'🛒 E-Commerce Dataset'!G:G,B17)</f>
        <v>11.0</v>
      </c>
      <c r="D17" s="25">
        <f>_xlfn.SUMIFS('🛒 E-Commerce Dataset'!L:L,'🛒 E-Commerce Dataset'!F:F,A17,'🛒 E-Commerce Dataset'!G:G,B17)</f>
        <v>1524500.0</v>
      </c>
      <c r="E17" s="25">
        <f>_xlfn.SUMIFS('🛒 E-Commerce Dataset'!N:N,'🛒 E-Commerce Dataset'!F:F,A17,'🛒 E-Commerce Dataset'!G:G,B17)</f>
        <v>1393100.0</v>
      </c>
      <c r="F17" s="37">
        <f>_xlfn.IFERROR(_xlfn.AVERAGEIFS('🛒 E-Commerce Dataset'!M:M,'🛒 E-Commerce Dataset'!F:F,A17,'🛒 E-Commerce Dataset'!G:G,B17),0)</f>
        <v>10.454545454545455</v>
      </c>
    </row>
    <row r="18" spans="8:8" ht="16.5" customHeight="1">
      <c r="A18" s="27" t="s">
        <v>14</v>
      </c>
      <c r="B18" s="27" t="s">
        <v>16</v>
      </c>
      <c r="C18" s="27">
        <f>_xlfn.COUNTIFS('🛒 E-Commerce Dataset'!F:F,A18,'🛒 E-Commerce Dataset'!G:G,B18)</f>
        <v>1.0</v>
      </c>
      <c r="D18" s="29">
        <f>_xlfn.SUMIFS('🛒 E-Commerce Dataset'!L:L,'🛒 E-Commerce Dataset'!F:F,A18,'🛒 E-Commerce Dataset'!G:G,B18)</f>
        <v>22500.0</v>
      </c>
      <c r="E18" s="29">
        <f>_xlfn.SUMIFS('🛒 E-Commerce Dataset'!N:N,'🛒 E-Commerce Dataset'!F:F,A18,'🛒 E-Commerce Dataset'!G:G,B18)</f>
        <v>20250.0</v>
      </c>
      <c r="F18" s="38">
        <f>_xlfn.IFERROR(_xlfn.AVERAGEIFS('🛒 E-Commerce Dataset'!M:M,'🛒 E-Commerce Dataset'!F:F,A18,'🛒 E-Commerce Dataset'!G:G,B18),0)</f>
        <v>10.0</v>
      </c>
    </row>
    <row r="19" spans="8:8" ht="16.5" customHeight="1">
      <c r="A19" s="23" t="s">
        <v>14</v>
      </c>
      <c r="B19" s="23" t="s">
        <v>21</v>
      </c>
      <c r="C19" s="23">
        <f>_xlfn.COUNTIFS('🛒 E-Commerce Dataset'!F:F,A19,'🛒 E-Commerce Dataset'!G:G,B19)</f>
        <v>0.0</v>
      </c>
      <c r="D19" s="25">
        <f>_xlfn.SUMIFS('🛒 E-Commerce Dataset'!L:L,'🛒 E-Commerce Dataset'!F:F,A19,'🛒 E-Commerce Dataset'!G:G,B19)</f>
        <v>0.0</v>
      </c>
      <c r="E19" s="25">
        <f>_xlfn.SUMIFS('🛒 E-Commerce Dataset'!N:N,'🛒 E-Commerce Dataset'!F:F,A19,'🛒 E-Commerce Dataset'!G:G,B19)</f>
        <v>0.0</v>
      </c>
      <c r="F19" s="37">
        <f>_xlfn.IFERROR(_xlfn.AVERAGEIFS('🛒 E-Commerce Dataset'!M:M,'🛒 E-Commerce Dataset'!F:F,A19,'🛒 E-Commerce Dataset'!G:G,B19),0)</f>
        <v>0.0</v>
      </c>
    </row>
    <row r="20" spans="8:8" ht="16.5" customHeight="1">
      <c r="A20" s="27" t="s">
        <v>24</v>
      </c>
      <c r="B20" s="27" t="s">
        <v>11</v>
      </c>
      <c r="C20" s="27">
        <f>_xlfn.COUNTIFS('🛒 E-Commerce Dataset'!F:F,A20,'🛒 E-Commerce Dataset'!G:G,B20)</f>
        <v>6.0</v>
      </c>
      <c r="D20" s="29">
        <f>_xlfn.SUMIFS('🛒 E-Commerce Dataset'!L:L,'🛒 E-Commerce Dataset'!F:F,A20,'🛒 E-Commerce Dataset'!G:G,B20)</f>
        <v>206100.0</v>
      </c>
      <c r="E20" s="29">
        <f>_xlfn.SUMIFS('🛒 E-Commerce Dataset'!N:N,'🛒 E-Commerce Dataset'!F:F,A20,'🛒 E-Commerce Dataset'!G:G,B20)</f>
        <v>184120.0</v>
      </c>
      <c r="F20" s="38">
        <f>_xlfn.IFERROR(_xlfn.AVERAGEIFS('🛒 E-Commerce Dataset'!M:M,'🛒 E-Commerce Dataset'!F:F,A20,'🛒 E-Commerce Dataset'!G:G,B20),0)</f>
        <v>11.833333333333334</v>
      </c>
    </row>
    <row r="21" spans="8:8" ht="16.5" customHeight="1">
      <c r="A21" s="23" t="s">
        <v>24</v>
      </c>
      <c r="B21" s="23" t="s">
        <v>16</v>
      </c>
      <c r="C21" s="23">
        <f>_xlfn.COUNTIFS('🛒 E-Commerce Dataset'!F:F,A21,'🛒 E-Commerce Dataset'!G:G,B21)</f>
        <v>6.0</v>
      </c>
      <c r="D21" s="25">
        <f>_xlfn.SUMIFS('🛒 E-Commerce Dataset'!L:L,'🛒 E-Commerce Dataset'!F:F,A21,'🛒 E-Commerce Dataset'!G:G,B21)</f>
        <v>263400.0</v>
      </c>
      <c r="E21" s="25">
        <f>_xlfn.SUMIFS('🛒 E-Commerce Dataset'!N:N,'🛒 E-Commerce Dataset'!F:F,A21,'🛒 E-Commerce Dataset'!G:G,B21)</f>
        <v>227752.0</v>
      </c>
      <c r="F21" s="37">
        <f>_xlfn.IFERROR(_xlfn.AVERAGEIFS('🛒 E-Commerce Dataset'!M:M,'🛒 E-Commerce Dataset'!F:F,A21,'🛒 E-Commerce Dataset'!G:G,B21),0)</f>
        <v>13.166666666666666</v>
      </c>
    </row>
    <row r="22" spans="8:8" ht="16.5" customHeight="1">
      <c r="A22" s="27" t="s">
        <v>19</v>
      </c>
      <c r="B22" s="27" t="s">
        <v>11</v>
      </c>
      <c r="C22" s="27">
        <f>_xlfn.COUNTIFS('🛒 E-Commerce Dataset'!F:F,A22,'🛒 E-Commerce Dataset'!G:G,B22)</f>
        <v>8.0</v>
      </c>
      <c r="D22" s="29">
        <f>_xlfn.SUMIFS('🛒 E-Commerce Dataset'!L:L,'🛒 E-Commerce Dataset'!F:F,A22,'🛒 E-Commerce Dataset'!G:G,B22)</f>
        <v>453900.0</v>
      </c>
      <c r="E22" s="29">
        <f>_xlfn.SUMIFS('🛒 E-Commerce Dataset'!N:N,'🛒 E-Commerce Dataset'!F:F,A22,'🛒 E-Commerce Dataset'!G:G,B22)</f>
        <v>404940.0</v>
      </c>
      <c r="F22" s="38">
        <f>_xlfn.IFERROR(_xlfn.AVERAGEIFS('🛒 E-Commerce Dataset'!M:M,'🛒 E-Commerce Dataset'!F:F,A22,'🛒 E-Commerce Dataset'!G:G,B22),0)</f>
        <v>11.125</v>
      </c>
    </row>
    <row r="23" spans="8:8" ht="16.5" customHeight="1">
      <c r="A23" s="23" t="s">
        <v>19</v>
      </c>
      <c r="B23" s="23" t="s">
        <v>21</v>
      </c>
      <c r="C23" s="23">
        <f>_xlfn.COUNTIFS('🛒 E-Commerce Dataset'!F:F,A23,'🛒 E-Commerce Dataset'!G:G,B23)</f>
        <v>4.0</v>
      </c>
      <c r="D23" s="25">
        <f>_xlfn.SUMIFS('🛒 E-Commerce Dataset'!L:L,'🛒 E-Commerce Dataset'!F:F,A23,'🛒 E-Commerce Dataset'!G:G,B23)</f>
        <v>250400.0</v>
      </c>
      <c r="E23" s="25">
        <f>_xlfn.SUMIFS('🛒 E-Commerce Dataset'!N:N,'🛒 E-Commerce Dataset'!F:F,A23,'🛒 E-Commerce Dataset'!G:G,B23)</f>
        <v>219308.0</v>
      </c>
      <c r="F23" s="37">
        <f>_xlfn.IFERROR(_xlfn.AVERAGEIFS('🛒 E-Commerce Dataset'!M:M,'🛒 E-Commerce Dataset'!F:F,A23,'🛒 E-Commerce Dataset'!G:G,B23),0)</f>
        <v>11.5</v>
      </c>
    </row>
    <row r="24" spans="8:8" ht="16.5" customHeight="1">
      <c r="A24" s="27" t="s">
        <v>28</v>
      </c>
      <c r="B24" s="27" t="s">
        <v>16</v>
      </c>
      <c r="C24" s="27">
        <f>_xlfn.COUNTIFS('🛒 E-Commerce Dataset'!F:F,A24,'🛒 E-Commerce Dataset'!G:G,B24)</f>
        <v>4.0</v>
      </c>
      <c r="D24" s="29">
        <f>_xlfn.SUMIFS('🛒 E-Commerce Dataset'!L:L,'🛒 E-Commerce Dataset'!F:F,A24,'🛒 E-Commerce Dataset'!G:G,B24)</f>
        <v>62500.0</v>
      </c>
      <c r="E24" s="29">
        <f>_xlfn.SUMIFS('🛒 E-Commerce Dataset'!N:N,'🛒 E-Commerce Dataset'!F:F,A24,'🛒 E-Commerce Dataset'!G:G,B24)</f>
        <v>62500.0</v>
      </c>
      <c r="F24" s="38">
        <f>_xlfn.IFERROR(_xlfn.AVERAGEIFS('🛒 E-Commerce Dataset'!M:M,'🛒 E-Commerce Dataset'!F:F,A24,'🛒 E-Commerce Dataset'!G:G,B24),0)</f>
        <v>0.0</v>
      </c>
    </row>
    <row r="25" spans="8:8" ht="16.5" customHeight="1">
      <c r="A25" s="23" t="s">
        <v>28</v>
      </c>
      <c r="B25" s="23" t="s">
        <v>21</v>
      </c>
      <c r="C25" s="23">
        <f>_xlfn.COUNTIFS('🛒 E-Commerce Dataset'!F:F,A25,'🛒 E-Commerce Dataset'!G:G,B25)</f>
        <v>4.0</v>
      </c>
      <c r="D25" s="25">
        <f>_xlfn.SUMIFS('🛒 E-Commerce Dataset'!L:L,'🛒 E-Commerce Dataset'!F:F,A25,'🛒 E-Commerce Dataset'!G:G,B25)</f>
        <v>129000.0</v>
      </c>
      <c r="E25" s="25">
        <f>_xlfn.SUMIFS('🛒 E-Commerce Dataset'!N:N,'🛒 E-Commerce Dataset'!F:F,A25,'🛒 E-Commerce Dataset'!G:G,B25)</f>
        <v>120250.0</v>
      </c>
      <c r="F25" s="37">
        <f>_xlfn.IFERROR(_xlfn.AVERAGEIFS('🛒 E-Commerce Dataset'!M:M,'🛒 E-Commerce Dataset'!F:F,A25,'🛒 E-Commerce Dataset'!G:G,B25),0)</f>
        <v>2.5</v>
      </c>
    </row>
  </sheetData>
  <mergeCells count="3">
    <mergeCell ref="A1:H1"/>
    <mergeCell ref="A3:H3"/>
    <mergeCell ref="A12:H12"/>
  </mergeCells>
  <conditionalFormatting sqref="D5:D9">
    <cfRule type="dataBar" priority="32767">
      <dataBar>
        <cfvo type="num" val="0"/>
        <cfvo type="max"/>
        <color rgb="FF000000"/>
      </dataBar>
    </cfRule>
    <cfRule type="dataBar" priority="2">
      <dataBar>
        <cfvo type="num" val="0"/>
        <cfvo type="max"/>
        <color rgb="FF06D6A0"/>
      </dataBar>
    </cfRule>
  </conditionalFormatting>
  <pageMargins left="0.75" right="0.75" top="1.0" bottom="1.0" header="0.511811023622047" footer="0.511811023622047"/>
  <pageSetup paperSize="9"/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rgb="FF7B5CF6"/>
  </sheetPr>
  <dimension ref="A1:R119"/>
  <sheetViews>
    <sheetView workbookViewId="0">
      <selection activeCell="A1" sqref="A1:Q1"/>
    </sheetView>
  </sheetViews>
  <sheetFormatPr defaultRowHeight="15.0" zeroHeight="1"/>
  <cols>
    <col min="1" max="1" customWidth="1" width="2.0" style="1"/>
    <col min="2" max="17" customWidth="1" width="7.5" style="1"/>
  </cols>
  <sheetData>
    <row r="1" spans="8:8" ht="33.75" customHeight="1">
      <c r="A1" s="21" t="s">
        <v>388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8:8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8:8" ht="21.75" customHeight="1">
      <c r="A3" s="40" t="s">
        <v>389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8:8" ht="15.0" customHeight="1">
      <c r="A4" s="41" t="s">
        <v>390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</row>
    <row r="5" spans="8:8" ht="15.0" customHeight="1">
      <c r="A5" s="42" t="s">
        <v>391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</row>
    <row r="6" spans="8:8" ht="15.0" customHeight="1">
      <c r="A6" s="43" t="s">
        <v>392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</row>
    <row r="7" spans="8:8" ht="15.0" customHeight="1">
      <c r="A7" s="42" t="s">
        <v>393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</row>
    <row r="8" spans="8:8" ht="15.0" customHeight="1">
      <c r="A8" s="41" t="s">
        <v>394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8:8" ht="15.0" customHeight="1">
      <c r="A9" s="42" t="s">
        <v>395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</row>
    <row r="10" spans="8:8" ht="15.0" customHeight="1">
      <c r="A10" s="41" t="s">
        <v>396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8:8" ht="15.0" customHeight="1">
      <c r="A11" s="42" t="s">
        <v>397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</row>
    <row r="12" spans="8:8" ht="15.0" customHeight="1">
      <c r="A12" s="41" t="s">
        <v>398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</row>
    <row r="13" spans="8:8" ht="15.0" customHeight="1">
      <c r="A13" s="42" t="s">
        <v>399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</row>
    <row r="14" spans="8:8" ht="15.0" customHeight="1">
      <c r="A14" s="41" t="s">
        <v>400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8:8" ht="15.0" customHeight="1">
      <c r="A15" s="42" t="s">
        <v>401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</row>
    <row r="16" spans="8:8" ht="15.0" customHeight="1">
      <c r="A16" s="41" t="s">
        <v>402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</row>
    <row r="17" spans="8:8" ht="15.0" customHeight="1">
      <c r="A17" s="42" t="s">
        <v>403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</row>
    <row r="18" spans="8:8" ht="15.0" customHeight="1">
      <c r="A18" s="41" t="s">
        <v>404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</row>
    <row r="19" spans="8:8" ht="15.0" customHeight="1">
      <c r="A19" s="42" t="s">
        <v>405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</row>
    <row r="20" spans="8:8" ht="15.0" customHeight="1">
      <c r="A20" s="41" t="s">
        <v>406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</row>
    <row r="21" spans="8:8" ht="15.0" customHeight="1">
      <c r="A21" s="42" t="s">
        <v>407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</row>
    <row r="22" spans="8:8" ht="15.0" customHeight="1">
      <c r="A22" s="41" t="s">
        <v>408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</row>
    <row r="23" spans="8:8" ht="15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8:8" ht="21.75" customHeight="1">
      <c r="A24" s="44" t="s">
        <v>409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</row>
    <row r="25" spans="8:8" ht="15.0" customHeight="1">
      <c r="A25" s="42" t="s">
        <v>410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</row>
    <row r="26" spans="8:8" ht="15.0" customHeight="1">
      <c r="A26" s="41" t="s">
        <v>411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spans="8:8" ht="15.0" customHeight="1">
      <c r="A27" s="42" t="s">
        <v>412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</row>
    <row r="28" spans="8:8" ht="15.0" customHeight="1">
      <c r="A28" s="41" t="s">
        <v>413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</row>
    <row r="29" spans="8:8" ht="15.0" customHeight="1">
      <c r="A29" s="42" t="s">
        <v>414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</row>
    <row r="30" spans="8:8" ht="15.0" customHeight="1">
      <c r="A30" s="41" t="s">
        <v>415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</row>
    <row r="31" spans="8:8" ht="15.0" customHeight="1">
      <c r="A31" s="42" t="s">
        <v>416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</row>
    <row r="32" spans="8:8" ht="15.0" customHeight="1">
      <c r="A32" s="41" t="s">
        <v>417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</row>
    <row r="33" spans="8:8" ht="15.0" customHeight="1">
      <c r="A33" s="42" t="s">
        <v>418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</row>
    <row r="34" spans="8:8" ht="15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8:8" ht="21.75" customHeight="1">
      <c r="A35" s="45" t="s">
        <v>419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</row>
    <row r="36" spans="8:8" ht="15.0" customHeight="1">
      <c r="A36" s="41" t="s">
        <v>420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</row>
    <row r="37" spans="8:8" ht="15.0" customHeight="1">
      <c r="A37" s="42" t="s">
        <v>411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</row>
    <row r="38" spans="8:8" ht="15.0" customHeight="1">
      <c r="A38" s="41" t="s">
        <v>413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</row>
    <row r="39" spans="8:8" ht="15.0" customHeight="1">
      <c r="A39" s="42" t="s">
        <v>421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</row>
    <row r="40" spans="8:8" ht="15.0" customHeight="1">
      <c r="A40" s="41" t="s">
        <v>422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</row>
    <row r="41" spans="8:8" ht="15.0" customHeight="1">
      <c r="A41" s="42" t="s">
        <v>416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</row>
    <row r="42" spans="8:8" ht="15.0" customHeight="1">
      <c r="A42" s="41" t="s">
        <v>423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</row>
    <row r="43" spans="8:8" ht="15.0" customHeight="1">
      <c r="A43" s="42" t="s">
        <v>418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</row>
    <row r="44" spans="8:8" ht="15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8:8" ht="21.75" customHeight="1">
      <c r="A45" s="46" t="s">
        <v>424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</row>
    <row r="46" spans="8:8" ht="15.0" customHeight="1">
      <c r="A46" s="41" t="s">
        <v>425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</row>
    <row r="47" spans="8:8" ht="15.0" customHeight="1">
      <c r="A47" s="42" t="s">
        <v>426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</row>
    <row r="48" spans="8:8" ht="15.0" customHeight="1">
      <c r="A48" s="41" t="s">
        <v>411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</row>
    <row r="49" spans="8:8" ht="15.0" customHeight="1">
      <c r="A49" s="42" t="s">
        <v>427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</row>
    <row r="50" spans="8:8" ht="15.0" customHeight="1">
      <c r="A50" s="41" t="s">
        <v>428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</row>
    <row r="51" spans="8:8" ht="15.0" customHeight="1">
      <c r="A51" s="42" t="s">
        <v>429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</row>
    <row r="52" spans="8:8" ht="15.0" customHeight="1">
      <c r="A52" s="41" t="s">
        <v>430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</row>
    <row r="53" spans="8:8" ht="15.0" customHeight="1">
      <c r="A53" s="42" t="s">
        <v>416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</row>
    <row r="54" spans="8:8" ht="15.0" customHeight="1">
      <c r="A54" s="41" t="s">
        <v>431</v>
      </c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</row>
    <row r="55" spans="8:8" ht="15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8:8" ht="21.75" customHeight="1">
      <c r="A56" s="47" t="s">
        <v>432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</row>
    <row r="57" spans="8:8" ht="15.0" customHeight="1">
      <c r="A57" s="42" t="s">
        <v>433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</row>
    <row r="58" spans="8:8" ht="15.0" customHeight="1">
      <c r="A58" s="41" t="s">
        <v>411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</row>
    <row r="59" spans="8:8" ht="15.0" customHeight="1">
      <c r="A59" s="42" t="s">
        <v>434</v>
      </c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</row>
    <row r="60" spans="8:8" ht="15.0" customHeight="1">
      <c r="A60" s="41" t="s">
        <v>414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</row>
    <row r="61" spans="8:8" ht="15.0" customHeight="1">
      <c r="A61" s="42" t="s">
        <v>435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</row>
    <row r="62" spans="8:8" ht="15.0" customHeight="1">
      <c r="A62" s="41" t="s">
        <v>416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</row>
    <row r="63" spans="8:8" ht="15.0" customHeight="1">
      <c r="A63" s="42" t="s">
        <v>436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</row>
    <row r="64" spans="8:8" ht="15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8:8" ht="21.75" customHeight="1">
      <c r="A65" s="48" t="s">
        <v>437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</row>
    <row r="66" spans="8:8" ht="15.0" customHeight="1">
      <c r="A66" s="41" t="s">
        <v>438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</row>
    <row r="67" spans="8:8" ht="15.0" customHeight="1">
      <c r="A67" s="42" t="s">
        <v>411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</row>
    <row r="68" spans="8:8" ht="15.0" customHeight="1">
      <c r="A68" s="41" t="s">
        <v>434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</row>
    <row r="69" spans="8:8" ht="15.0" customHeight="1">
      <c r="A69" s="42" t="s">
        <v>439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</row>
    <row r="70" spans="8:8" ht="15.0" customHeight="1">
      <c r="A70" s="41" t="s">
        <v>416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</row>
    <row r="71" spans="8:8" ht="15.0" customHeight="1">
      <c r="A71" s="42" t="s">
        <v>440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</row>
    <row r="72" spans="8:8" ht="15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8:8" ht="21.75" customHeight="1">
      <c r="A73" s="40" t="s">
        <v>441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</row>
    <row r="74" spans="8:8" ht="15.0" customHeight="1">
      <c r="A74" s="41" t="s">
        <v>442</v>
      </c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</row>
    <row r="75" spans="8:8" ht="15.0" customHeight="1">
      <c r="A75" s="42" t="s">
        <v>412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</row>
    <row r="76" spans="8:8" ht="15.0" customHeight="1">
      <c r="A76" s="41" t="s">
        <v>413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</row>
    <row r="77" spans="8:8" ht="15.0" customHeight="1">
      <c r="A77" s="42" t="s">
        <v>443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</row>
    <row r="78" spans="8:8" ht="15.0" customHeight="1">
      <c r="A78" s="41" t="s">
        <v>416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</row>
    <row r="79" spans="8:8" ht="15.0" customHeight="1">
      <c r="A79" s="42" t="s">
        <v>444</v>
      </c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</row>
    <row r="80" spans="8:8" ht="15.0" customHeight="1">
      <c r="A80" s="41" t="s">
        <v>445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</row>
    <row r="81" spans="8:8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8:8" ht="21.75" customHeight="1">
      <c r="A82" s="44" t="s">
        <v>446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</row>
    <row r="83" spans="8:8" ht="15.0" customHeight="1">
      <c r="A83" s="42" t="s">
        <v>410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</row>
    <row r="84" spans="8:8" ht="15.0" customHeight="1">
      <c r="A84" s="41" t="s">
        <v>447</v>
      </c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</row>
    <row r="85" spans="8:8" ht="15.0" customHeight="1">
      <c r="A85" s="42" t="s">
        <v>413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</row>
    <row r="86" spans="8:8" ht="15.0" customHeight="1">
      <c r="A86" s="41" t="s">
        <v>414</v>
      </c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</row>
    <row r="87" spans="8:8" ht="15.0" customHeight="1">
      <c r="A87" s="42" t="s">
        <v>448</v>
      </c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</row>
    <row r="88" spans="8:8" ht="15.0" customHeight="1">
      <c r="A88" s="41" t="s">
        <v>416</v>
      </c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</row>
    <row r="89" spans="8:8" ht="15.0" customHeight="1">
      <c r="A89" s="42" t="s">
        <v>449</v>
      </c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</row>
    <row r="90" spans="8:8" ht="15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8:8" ht="21.75" customHeight="1">
      <c r="A91" s="45" t="s">
        <v>450</v>
      </c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</row>
    <row r="92" spans="8:8" ht="15.0" customHeight="1">
      <c r="A92" s="41" t="s">
        <v>451</v>
      </c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</row>
    <row r="93" spans="8:8" ht="15.0" customHeight="1">
      <c r="A93" s="42" t="s">
        <v>452</v>
      </c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</row>
    <row r="94" spans="8:8" ht="15.0" customHeight="1">
      <c r="A94" s="41" t="s">
        <v>453</v>
      </c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</row>
    <row r="95" spans="8:8" ht="15.0" customHeight="1">
      <c r="A95" s="42" t="s">
        <v>416</v>
      </c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</row>
    <row r="96" spans="8:8" ht="15.0" customHeight="1">
      <c r="A96" s="41" t="s">
        <v>454</v>
      </c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</row>
    <row r="97" spans="8:8" ht="15.0" customHeight="1">
      <c r="A97" s="42" t="s">
        <v>455</v>
      </c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</row>
    <row r="98" spans="8:8" ht="15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8:8" ht="21.75" customHeight="1">
      <c r="A99" s="49" t="s">
        <v>456</v>
      </c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</row>
    <row r="100" spans="8:8" ht="15.0" customHeight="1">
      <c r="A100" s="41" t="s">
        <v>457</v>
      </c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</row>
    <row r="101" spans="8:8" ht="15.0" customHeight="1">
      <c r="A101" s="42" t="s">
        <v>411</v>
      </c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</row>
    <row r="102" spans="8:8" ht="15.0" customHeight="1">
      <c r="A102" s="41" t="s">
        <v>458</v>
      </c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</row>
    <row r="103" spans="8:8" ht="15.0" customHeight="1">
      <c r="A103" s="42" t="s">
        <v>459</v>
      </c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</row>
    <row r="104" spans="8:8" ht="15.0" customHeight="1">
      <c r="A104" s="41" t="s">
        <v>416</v>
      </c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</row>
    <row r="105" spans="8:8" ht="15.0" customHeight="1">
      <c r="A105" s="42" t="s">
        <v>460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</row>
    <row r="106" spans="8:8" ht="15.0" customHeight="1">
      <c r="A106" s="41" t="s">
        <v>461</v>
      </c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</row>
    <row r="107" spans="8:8" ht="15.0" customHeight="1">
      <c r="A107" s="42" t="s">
        <v>462</v>
      </c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</row>
    <row r="108" spans="8:8" ht="15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8:8" ht="15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8:8" ht="15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8:8" ht="15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8:8" ht="15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8:8" ht="15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8:8" ht="15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8:8" ht="15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8:8" ht="15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8:8" ht="15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8:8" ht="15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8:8" ht="15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</sheetData>
  <mergeCells count="97">
    <mergeCell ref="A27:Q27"/>
    <mergeCell ref="A16:Q16"/>
    <mergeCell ref="A22:Q22"/>
    <mergeCell ref="A17:Q17"/>
    <mergeCell ref="A18:Q18"/>
    <mergeCell ref="A20:Q20"/>
    <mergeCell ref="A25:Q25"/>
    <mergeCell ref="A1:Q1"/>
    <mergeCell ref="A9:Q9"/>
    <mergeCell ref="A31:Q31"/>
    <mergeCell ref="A45:Q45"/>
    <mergeCell ref="A92:Q92"/>
    <mergeCell ref="A104:Q104"/>
    <mergeCell ref="A28:Q28"/>
    <mergeCell ref="A38:Q38"/>
    <mergeCell ref="A32:Q32"/>
    <mergeCell ref="A30:Q30"/>
    <mergeCell ref="A57:Q57"/>
    <mergeCell ref="A69:Q69"/>
    <mergeCell ref="A61:Q61"/>
    <mergeCell ref="A63:Q63"/>
    <mergeCell ref="A14:Q14"/>
    <mergeCell ref="A33:Q33"/>
    <mergeCell ref="A52:Q52"/>
    <mergeCell ref="A65:Q65"/>
    <mergeCell ref="A10:Q10"/>
    <mergeCell ref="A21:Q21"/>
    <mergeCell ref="A41:Q41"/>
    <mergeCell ref="A60:Q60"/>
    <mergeCell ref="A4:Q4"/>
    <mergeCell ref="A15:Q15"/>
    <mergeCell ref="A13:Q13"/>
    <mergeCell ref="A7:Q7"/>
    <mergeCell ref="A39:Q39"/>
    <mergeCell ref="A51:Q51"/>
    <mergeCell ref="A43:Q43"/>
    <mergeCell ref="A46:Q46"/>
    <mergeCell ref="A3:Q3"/>
    <mergeCell ref="A11:Q11"/>
    <mergeCell ref="A6:Q6"/>
    <mergeCell ref="A8:Q8"/>
    <mergeCell ref="A29:Q29"/>
    <mergeCell ref="A42:Q42"/>
    <mergeCell ref="A12:Q12"/>
    <mergeCell ref="A24:Q24"/>
    <mergeCell ref="A5:Q5"/>
    <mergeCell ref="A19:Q19"/>
    <mergeCell ref="A94:Q94"/>
    <mergeCell ref="A106:Q106"/>
    <mergeCell ref="A59:Q59"/>
    <mergeCell ref="A86:Q86"/>
    <mergeCell ref="A85:Q85"/>
    <mergeCell ref="A102:Q102"/>
    <mergeCell ref="A83:Q83"/>
    <mergeCell ref="A97:Q97"/>
    <mergeCell ref="A95:Q95"/>
    <mergeCell ref="A89:Q89"/>
    <mergeCell ref="A82:Q82"/>
    <mergeCell ref="A93:Q93"/>
    <mergeCell ref="A84:Q84"/>
    <mergeCell ref="A87:Q87"/>
    <mergeCell ref="A80:Q80"/>
    <mergeCell ref="A91:Q91"/>
    <mergeCell ref="A78:Q78"/>
    <mergeCell ref="A88:Q88"/>
    <mergeCell ref="A107:Q107"/>
    <mergeCell ref="A96:Q96"/>
    <mergeCell ref="A103:Q103"/>
    <mergeCell ref="A101:Q101"/>
    <mergeCell ref="A100:Q100"/>
    <mergeCell ref="A99:Q99"/>
    <mergeCell ref="A105:Q105"/>
    <mergeCell ref="A79:Q79"/>
    <mergeCell ref="A68:Q68"/>
    <mergeCell ref="A77:Q77"/>
    <mergeCell ref="A76:Q76"/>
    <mergeCell ref="A70:Q70"/>
    <mergeCell ref="A73:Q73"/>
    <mergeCell ref="A75:Q75"/>
    <mergeCell ref="A35:Q35"/>
    <mergeCell ref="A47:Q47"/>
    <mergeCell ref="A54:Q54"/>
    <mergeCell ref="A67:Q67"/>
    <mergeCell ref="A40:Q40"/>
    <mergeCell ref="A56:Q56"/>
    <mergeCell ref="A53:Q53"/>
    <mergeCell ref="A48:Q48"/>
    <mergeCell ref="A37:Q37"/>
    <mergeCell ref="A49:Q49"/>
    <mergeCell ref="A50:Q50"/>
    <mergeCell ref="A62:Q62"/>
    <mergeCell ref="A58:Q58"/>
    <mergeCell ref="A74:Q74"/>
    <mergeCell ref="A71:Q71"/>
    <mergeCell ref="A66:Q66"/>
    <mergeCell ref="A26:Q26"/>
    <mergeCell ref="A36:Q36"/>
  </mergeCells>
  <pageMargins left="0.75" right="0.75" top="1.0" bottom="1.0" header="0.511811023622047" footer="0.511811023622047"/>
  <pageSetup paperSize="9"/>
</worksheet>
</file>

<file path=xl/worksheets/sheet8.xml><?xml version="1.0" encoding="utf-8"?>
<worksheet xmlns:r="http://schemas.openxmlformats.org/officeDocument/2006/relationships" xmlns="http://schemas.openxmlformats.org/spreadsheetml/2006/main">
  <sheetPr>
    <tabColor rgb="FF00B4D8"/>
  </sheetPr>
  <dimension ref="A1:J15"/>
  <sheetViews>
    <sheetView workbookViewId="0">
      <pane ySplit="2" topLeftCell="A3" state="frozen" activePane="bottomLeft"/>
      <selection pane="bottomLeft" activeCell="A1" sqref="A1:I1"/>
    </sheetView>
  </sheetViews>
  <sheetFormatPr defaultRowHeight="15.0" zeroHeight="1"/>
  <cols>
    <col min="1" max="1" customWidth="1" width="14.0" style="1"/>
    <col min="2" max="3" customWidth="1" width="9.0" style="1"/>
    <col min="4" max="4" customWidth="1" width="10.0" style="1"/>
    <col min="5" max="6" customWidth="1" width="16.0" style="1"/>
    <col min="7" max="7" customWidth="1" width="13.0" style="1"/>
    <col min="8" max="8" customWidth="1" width="17.0" style="1"/>
    <col min="9" max="9" customWidth="1" width="11.0" style="1"/>
  </cols>
  <sheetData>
    <row r="1" spans="8:8" ht="33.75" customHeight="1">
      <c r="A1" s="21" t="s">
        <v>463</v>
      </c>
      <c r="B1" s="21"/>
      <c r="C1" s="21"/>
      <c r="D1" s="21"/>
      <c r="E1" s="21"/>
      <c r="F1" s="21"/>
      <c r="G1" s="21"/>
      <c r="H1" s="21"/>
      <c r="I1" s="21"/>
    </row>
    <row r="2" spans="8:8" ht="21.75" customHeight="1">
      <c r="A2" s="22" t="s">
        <v>0</v>
      </c>
      <c r="B2" s="22" t="s">
        <v>5</v>
      </c>
      <c r="C2" s="22" t="s">
        <v>2</v>
      </c>
      <c r="D2" s="22" t="s">
        <v>58</v>
      </c>
      <c r="E2" s="22" t="s">
        <v>464</v>
      </c>
      <c r="F2" s="22" t="s">
        <v>382</v>
      </c>
      <c r="G2" s="22" t="s">
        <v>465</v>
      </c>
      <c r="H2" s="22" t="s">
        <v>466</v>
      </c>
      <c r="I2" s="22" t="s">
        <v>467</v>
      </c>
    </row>
    <row r="3" spans="8:8" ht="16.5" customHeight="1">
      <c r="A3" s="23" t="s">
        <v>65</v>
      </c>
      <c r="B3" s="23" t="s">
        <v>10</v>
      </c>
      <c r="C3" s="23">
        <f>COUNTIF('🛒 E-Commerce Dataset'!C:C,A3)</f>
        <v>5.0</v>
      </c>
      <c r="D3" s="24">
        <f>SUMIF('🛒 E-Commerce Dataset'!C:C,A3,'🛒 E-Commerce Dataset'!J:J)</f>
        <v>34.0</v>
      </c>
      <c r="E3" s="25">
        <f>SUMIF('🛒 E-Commerce Dataset'!C:C,A3,'🛒 E-Commerce Dataset'!L:L)</f>
        <v>276000.0</v>
      </c>
      <c r="F3" s="25">
        <f>SUMIF('🛒 E-Commerce Dataset'!C:C,A3,'🛒 E-Commerce Dataset'!N:N)</f>
        <v>257910.0</v>
      </c>
      <c r="G3" s="23" t="s">
        <v>468</v>
      </c>
      <c r="H3" s="25">
        <f>SUM($E$3:E3)</f>
        <v>276000.0</v>
      </c>
      <c r="I3" s="37">
        <f>_xlfn.IFERROR(E3/SUM($E$3:$E$14),0)</f>
        <v>0.05148005148005148</v>
      </c>
    </row>
    <row r="4" spans="8:8" ht="16.5" customHeight="1">
      <c r="A4" s="27" t="s">
        <v>86</v>
      </c>
      <c r="B4" s="27" t="s">
        <v>10</v>
      </c>
      <c r="C4" s="27">
        <f>COUNTIF('🛒 E-Commerce Dataset'!C:C,A4)</f>
        <v>5.0</v>
      </c>
      <c r="D4" s="28">
        <f>SUMIF('🛒 E-Commerce Dataset'!C:C,A4,'🛒 E-Commerce Dataset'!J:J)</f>
        <v>51.0</v>
      </c>
      <c r="E4" s="29">
        <f>SUMIF('🛒 E-Commerce Dataset'!C:C,A4,'🛒 E-Commerce Dataset'!L:L)</f>
        <v>284950.0</v>
      </c>
      <c r="F4" s="29">
        <f>SUMIF('🛒 E-Commerce Dataset'!C:C,A4,'🛒 E-Commerce Dataset'!N:N)</f>
        <v>265198.0</v>
      </c>
      <c r="G4" s="38">
        <f>_xlfn.IFERROR((E4-E3)/E3,0)</f>
        <v>0.03242753623188406</v>
      </c>
      <c r="H4" s="29">
        <f>SUM($E$3:E4)</f>
        <v>560950.0</v>
      </c>
      <c r="I4" s="38">
        <f>_xlfn.IFERROR(E4/SUM($E$3:$E$14),0)</f>
        <v>0.053149422714640106</v>
      </c>
    </row>
    <row r="5" spans="8:8" ht="16.5" customHeight="1">
      <c r="A5" s="23" t="s">
        <v>107</v>
      </c>
      <c r="B5" s="23" t="s">
        <v>10</v>
      </c>
      <c r="C5" s="23">
        <f>COUNTIF('🛒 E-Commerce Dataset'!C:C,A5)</f>
        <v>5.0</v>
      </c>
      <c r="D5" s="24">
        <f>SUMIF('🛒 E-Commerce Dataset'!C:C,A5,'🛒 E-Commerce Dataset'!J:J)</f>
        <v>72.0</v>
      </c>
      <c r="E5" s="25">
        <f>SUMIF('🛒 E-Commerce Dataset'!C:C,A5,'🛒 E-Commerce Dataset'!L:L)</f>
        <v>256800.0</v>
      </c>
      <c r="F5" s="25">
        <f>SUMIF('🛒 E-Commerce Dataset'!C:C,A5,'🛒 E-Commerce Dataset'!N:N)</f>
        <v>239150.0</v>
      </c>
      <c r="G5" s="37">
        <f>_xlfn.IFERROR((E5-E4)/E4,0)</f>
        <v>-0.0987892612739077</v>
      </c>
      <c r="H5" s="25">
        <f>SUM($E$3:E5)</f>
        <v>817750.0</v>
      </c>
      <c r="I5" s="37">
        <f>_xlfn.IFERROR(E5/SUM($E$3:$E$14),0)</f>
        <v>0.047898830507526156</v>
      </c>
    </row>
    <row r="6" spans="8:8" ht="16.5" customHeight="1">
      <c r="A6" s="27" t="s">
        <v>126</v>
      </c>
      <c r="B6" s="27" t="s">
        <v>15</v>
      </c>
      <c r="C6" s="27">
        <f>COUNTIF('🛒 E-Commerce Dataset'!C:C,A6)</f>
        <v>5.0</v>
      </c>
      <c r="D6" s="28">
        <f>SUMIF('🛒 E-Commerce Dataset'!C:C,A6,'🛒 E-Commerce Dataset'!J:J)</f>
        <v>75.0</v>
      </c>
      <c r="E6" s="29">
        <f>SUMIF('🛒 E-Commerce Dataset'!C:C,A6,'🛒 E-Commerce Dataset'!L:L)</f>
        <v>408000.0</v>
      </c>
      <c r="F6" s="29">
        <f>SUMIF('🛒 E-Commerce Dataset'!C:C,A6,'🛒 E-Commerce Dataset'!N:N)</f>
        <v>380810.0</v>
      </c>
      <c r="G6" s="38">
        <f>_xlfn.IFERROR((E6-E5)/E5,0)</f>
        <v>0.5887850467289719</v>
      </c>
      <c r="H6" s="29">
        <f>SUM($E$3:E6)</f>
        <v>1225750.0</v>
      </c>
      <c r="I6" s="38">
        <f>_xlfn.IFERROR(E6/SUM($E$3:$E$14),0)</f>
        <v>0.07610094566616306</v>
      </c>
    </row>
    <row r="7" spans="8:8" ht="16.5" customHeight="1">
      <c r="A7" s="23" t="s">
        <v>26</v>
      </c>
      <c r="B7" s="23" t="s">
        <v>15</v>
      </c>
      <c r="C7" s="23">
        <f>COUNTIF('🛒 E-Commerce Dataset'!C:C,A7)</f>
        <v>5.0</v>
      </c>
      <c r="D7" s="24">
        <f>SUMIF('🛒 E-Commerce Dataset'!C:C,A7,'🛒 E-Commerce Dataset'!J:J)</f>
        <v>80.0</v>
      </c>
      <c r="E7" s="25">
        <f>SUMIF('🛒 E-Commerce Dataset'!C:C,A7,'🛒 E-Commerce Dataset'!L:L)</f>
        <v>209150.0</v>
      </c>
      <c r="F7" s="25">
        <f>SUMIF('🛒 E-Commerce Dataset'!C:C,A7,'🛒 E-Commerce Dataset'!N:N)</f>
        <v>186310.0</v>
      </c>
      <c r="G7" s="37">
        <f>_xlfn.IFERROR((E7-E6)/E6,0)</f>
        <v>-0.48737745098039215</v>
      </c>
      <c r="H7" s="25">
        <f>SUM($E$3:E7)</f>
        <v>1434900.0</v>
      </c>
      <c r="I7" s="37">
        <f>_xlfn.IFERROR(E7/SUM($E$3:$E$14),0)</f>
        <v>0.03901106075019119</v>
      </c>
    </row>
    <row r="8" spans="8:8" ht="16.5" customHeight="1">
      <c r="A8" s="27" t="s">
        <v>165</v>
      </c>
      <c r="B8" s="27" t="s">
        <v>15</v>
      </c>
      <c r="C8" s="27">
        <f>COUNTIF('🛒 E-Commerce Dataset'!C:C,A8)</f>
        <v>5.0</v>
      </c>
      <c r="D8" s="28">
        <f>SUMIF('🛒 E-Commerce Dataset'!C:C,A8,'🛒 E-Commerce Dataset'!J:J)</f>
        <v>85.0</v>
      </c>
      <c r="E8" s="29">
        <f>SUMIF('🛒 E-Commerce Dataset'!C:C,A8,'🛒 E-Commerce Dataset'!L:L)</f>
        <v>394400.0</v>
      </c>
      <c r="F8" s="29">
        <f>SUMIF('🛒 E-Commerce Dataset'!C:C,A8,'🛒 E-Commerce Dataset'!N:N)</f>
        <v>361432.0</v>
      </c>
      <c r="G8" s="38">
        <f>_xlfn.IFERROR((E8-E7)/E7,0)</f>
        <v>0.8857279464499164</v>
      </c>
      <c r="H8" s="29">
        <f>SUM($E$3:E8)</f>
        <v>1829300.0</v>
      </c>
      <c r="I8" s="38">
        <f>_xlfn.IFERROR(E8/SUM($E$3:$E$14),0)</f>
        <v>0.07356424747729096</v>
      </c>
    </row>
    <row r="9" spans="8:8" ht="16.5" customHeight="1">
      <c r="A9" s="23" t="s">
        <v>185</v>
      </c>
      <c r="B9" s="23" t="s">
        <v>20</v>
      </c>
      <c r="C9" s="23">
        <f>COUNTIF('🛒 E-Commerce Dataset'!C:C,A9)</f>
        <v>5.0</v>
      </c>
      <c r="D9" s="24">
        <f>SUMIF('🛒 E-Commerce Dataset'!C:C,A9,'🛒 E-Commerce Dataset'!J:J)</f>
        <v>51.0</v>
      </c>
      <c r="E9" s="25">
        <f>SUMIF('🛒 E-Commerce Dataset'!C:C,A9,'🛒 E-Commerce Dataset'!L:L)</f>
        <v>313500.0</v>
      </c>
      <c r="F9" s="25">
        <f>SUMIF('🛒 E-Commerce Dataset'!C:C,A9,'🛒 E-Commerce Dataset'!N:N)</f>
        <v>287100.0</v>
      </c>
      <c r="G9" s="37">
        <f>_xlfn.IFERROR((E9-E8)/E8,0)</f>
        <v>-0.20512170385395537</v>
      </c>
      <c r="H9" s="25">
        <f>SUM($E$3:E9)</f>
        <v>2142800.0</v>
      </c>
      <c r="I9" s="37">
        <f>_xlfn.IFERROR(E9/SUM($E$3:$E$14),0)</f>
        <v>0.058474623692015</v>
      </c>
    </row>
    <row r="10" spans="8:8" ht="16.5" customHeight="1">
      <c r="A10" s="27" t="s">
        <v>205</v>
      </c>
      <c r="B10" s="27" t="s">
        <v>20</v>
      </c>
      <c r="C10" s="27">
        <f>COUNTIF('🛒 E-Commerce Dataset'!C:C,A10)</f>
        <v>5.0</v>
      </c>
      <c r="D10" s="28">
        <f>SUMIF('🛒 E-Commerce Dataset'!C:C,A10,'🛒 E-Commerce Dataset'!J:J)</f>
        <v>50.0</v>
      </c>
      <c r="E10" s="29">
        <f>SUMIF('🛒 E-Commerce Dataset'!C:C,A10,'🛒 E-Commerce Dataset'!L:L)</f>
        <v>446000.0</v>
      </c>
      <c r="F10" s="29">
        <f>SUMIF('🛒 E-Commerce Dataset'!C:C,A10,'🛒 E-Commerce Dataset'!N:N)</f>
        <v>417280.0</v>
      </c>
      <c r="G10" s="38">
        <f>_xlfn.IFERROR((E10-E9)/E9,0)</f>
        <v>0.4226475279106858</v>
      </c>
      <c r="H10" s="29">
        <f>SUM($E$3:E10)</f>
        <v>2588800.0</v>
      </c>
      <c r="I10" s="38">
        <f>_xlfn.IFERROR(E10/SUM($E$3:$E$14),0)</f>
        <v>0.08318877884095276</v>
      </c>
    </row>
    <row r="11" spans="8:8" ht="16.5" customHeight="1">
      <c r="A11" s="23" t="s">
        <v>225</v>
      </c>
      <c r="B11" s="23" t="s">
        <v>20</v>
      </c>
      <c r="C11" s="23">
        <f>COUNTIF('🛒 E-Commerce Dataset'!C:C,A11)</f>
        <v>5.0</v>
      </c>
      <c r="D11" s="24">
        <f>SUMIF('🛒 E-Commerce Dataset'!C:C,A11,'🛒 E-Commerce Dataset'!J:J)</f>
        <v>93.0</v>
      </c>
      <c r="E11" s="25">
        <f>SUMIF('🛒 E-Commerce Dataset'!C:C,A11,'🛒 E-Commerce Dataset'!L:L)</f>
        <v>452000.0</v>
      </c>
      <c r="F11" s="25">
        <f>SUMIF('🛒 E-Commerce Dataset'!C:C,A11,'🛒 E-Commerce Dataset'!N:N)</f>
        <v>414450.0</v>
      </c>
      <c r="G11" s="37">
        <f>_xlfn.IFERROR((E11-E10)/E10,0)</f>
        <v>0.013452914798206279</v>
      </c>
      <c r="H11" s="25">
        <f>SUM($E$3:E11)</f>
        <v>3040800.0</v>
      </c>
      <c r="I11" s="37">
        <f>_xlfn.IFERROR(E11/SUM($E$3:$E$14),0)</f>
        <v>0.08430791039486692</v>
      </c>
    </row>
    <row r="12" spans="8:8" ht="16.5" customHeight="1">
      <c r="A12" s="27" t="s">
        <v>245</v>
      </c>
      <c r="B12" s="27" t="s">
        <v>25</v>
      </c>
      <c r="C12" s="27">
        <f>COUNTIF('🛒 E-Commerce Dataset'!C:C,A12)</f>
        <v>5.0</v>
      </c>
      <c r="D12" s="28">
        <f>SUMIF('🛒 E-Commerce Dataset'!C:C,A12,'🛒 E-Commerce Dataset'!J:J)</f>
        <v>100.0</v>
      </c>
      <c r="E12" s="29">
        <f>SUMIF('🛒 E-Commerce Dataset'!C:C,A12,'🛒 E-Commerce Dataset'!L:L)</f>
        <v>628000.0</v>
      </c>
      <c r="F12" s="29">
        <f>SUMIF('🛒 E-Commerce Dataset'!C:C,A12,'🛒 E-Commerce Dataset'!N:N)</f>
        <v>567400.0</v>
      </c>
      <c r="G12" s="38">
        <f>_xlfn.IFERROR((E12-E11)/E11,0)</f>
        <v>0.3893805309734513</v>
      </c>
      <c r="H12" s="29">
        <f>SUM($E$3:E12)</f>
        <v>3668800.0</v>
      </c>
      <c r="I12" s="38">
        <f>_xlfn.IFERROR(E12/SUM($E$3:$E$14),0)</f>
        <v>0.11713576930968235</v>
      </c>
    </row>
    <row r="13" spans="8:8" ht="16.5" customHeight="1">
      <c r="A13" s="23" t="s">
        <v>265</v>
      </c>
      <c r="B13" s="23" t="s">
        <v>25</v>
      </c>
      <c r="C13" s="23">
        <f>COUNTIF('🛒 E-Commerce Dataset'!C:C,A13)</f>
        <v>4.0</v>
      </c>
      <c r="D13" s="24">
        <f>SUMIF('🛒 E-Commerce Dataset'!C:C,A13,'🛒 E-Commerce Dataset'!J:J)</f>
        <v>63.0</v>
      </c>
      <c r="E13" s="25">
        <f>SUMIF('🛒 E-Commerce Dataset'!C:C,A13,'🛒 E-Commerce Dataset'!L:L)</f>
        <v>679000.0</v>
      </c>
      <c r="F13" s="25">
        <f>SUMIF('🛒 E-Commerce Dataset'!C:C,A13,'🛒 E-Commerce Dataset'!N:N)</f>
        <v>605340.0</v>
      </c>
      <c r="G13" s="37">
        <f>_xlfn.IFERROR((E13-E12)/E12,0)</f>
        <v>0.08121019108280254</v>
      </c>
      <c r="H13" s="25">
        <f>SUM($E$3:E13)</f>
        <v>4347800.0</v>
      </c>
      <c r="I13" s="37">
        <f>_xlfn.IFERROR(E13/SUM($E$3:$E$14),0)</f>
        <v>0.12664838751795274</v>
      </c>
    </row>
    <row r="14" spans="8:8" ht="16.5" customHeight="1">
      <c r="A14" s="27" t="s">
        <v>280</v>
      </c>
      <c r="B14" s="27" t="s">
        <v>25</v>
      </c>
      <c r="C14" s="27">
        <f>COUNTIF('🛒 E-Commerce Dataset'!C:C,A14)</f>
        <v>6.0</v>
      </c>
      <c r="D14" s="28">
        <f>SUMIF('🛒 E-Commerce Dataset'!C:C,A14,'🛒 E-Commerce Dataset'!J:J)</f>
        <v>112.0</v>
      </c>
      <c r="E14" s="29">
        <f>SUMIF('🛒 E-Commerce Dataset'!C:C,A14,'🛒 E-Commerce Dataset'!L:L)</f>
        <v>1013500.0</v>
      </c>
      <c r="F14" s="29">
        <f>SUMIF('🛒 E-Commerce Dataset'!C:C,A14,'🛒 E-Commerce Dataset'!N:N)</f>
        <v>888750.0</v>
      </c>
      <c r="G14" s="38">
        <f>_xlfn.IFERROR((E14-E13)/E13,0)</f>
        <v>0.49263622974963184</v>
      </c>
      <c r="H14" s="29">
        <f>SUM($E$3:E14)</f>
        <v>5361300.0</v>
      </c>
      <c r="I14" s="38">
        <f>_xlfn.IFERROR(E14/SUM($E$3:$E$14),0)</f>
        <v>0.1890399716486673</v>
      </c>
    </row>
    <row r="15" spans="8:8" ht="21.75" customHeight="1">
      <c r="A15" s="31" t="s">
        <v>469</v>
      </c>
      <c r="B15" s="31"/>
      <c r="C15" s="31">
        <f>SUM(C3:C14)</f>
        <v>60.0</v>
      </c>
      <c r="D15" s="32">
        <f>SUM(D3:D14)</f>
        <v>866.0</v>
      </c>
      <c r="E15" s="33">
        <f>SUM(E3:E14)</f>
        <v>5361300.0</v>
      </c>
      <c r="F15" s="33">
        <f>SUM(F3:F14)</f>
        <v>4871130.0</v>
      </c>
      <c r="G15" s="31"/>
      <c r="H15" s="33">
        <f>E15</f>
        <v>5361300.0</v>
      </c>
      <c r="I15" s="39">
        <f>SUM(I3:I14)</f>
        <v>1.0</v>
      </c>
    </row>
  </sheetData>
  <mergeCells count="1">
    <mergeCell ref="A1:I1"/>
  </mergeCells>
  <conditionalFormatting sqref="E3:E14">
    <cfRule type="dataBar" priority="3">
      <dataBar>
        <cfvo type="num" val="0"/>
        <cfvo type="max"/>
        <color rgb="FF00B4D8"/>
      </dataBar>
    </cfRule>
    <cfRule type="dataBar" priority="32767">
      <dataBar>
        <cfvo type="num" val="0"/>
        <cfvo type="max"/>
        <color rgb="FF000000"/>
      </dataBar>
    </cfRule>
  </conditionalFormatting>
  <conditionalFormatting sqref="G4:G14">
    <cfRule type="colorScale" priority="2">
      <colorScale>
        <cfvo type="min"/>
        <cfvo type="num" val="0"/>
        <cfvo type="max"/>
        <color rgb="FFEF476F"/>
        <color rgb="FF888888"/>
        <color rgb="FF06D6A0"/>
      </colorScale>
    </cfRule>
  </conditionalFormatting>
  <pageMargins left="0.75" right="0.75" top="1.0" bottom="1.0" header="0.511811023622047" footer="0.511811023622047"/>
  <pageSetup paperSize="9"/>
</worksheet>
</file>

<file path=xl/worksheets/sheet9.xml><?xml version="1.0" encoding="utf-8"?>
<worksheet xmlns:r="http://schemas.openxmlformats.org/officeDocument/2006/relationships" xmlns="http://schemas.openxmlformats.org/spreadsheetml/2006/main">
  <sheetPr>
    <tabColor rgb="FF4895EF"/>
  </sheetPr>
  <dimension ref="A1:I7"/>
  <sheetViews>
    <sheetView workbookViewId="0">
      <pane ySplit="2" topLeftCell="A3" state="frozen" activePane="bottomLeft"/>
      <selection pane="bottomLeft" activeCell="A1" sqref="A1:H1"/>
    </sheetView>
  </sheetViews>
  <sheetFormatPr defaultRowHeight="15.0" zeroHeight="1"/>
  <cols>
    <col min="1" max="1" customWidth="1" width="10.0" style="1"/>
    <col min="2" max="2" customWidth="1" width="12.0" style="1"/>
    <col min="3" max="4" customWidth="1" width="10.0" style="1"/>
    <col min="5" max="6" customWidth="1" width="16.0" style="1"/>
    <col min="7" max="7" customWidth="1" width="14.0" style="1"/>
    <col min="8" max="8" customWidth="1" width="15.0" style="1"/>
  </cols>
  <sheetData>
    <row r="1" spans="8:8" ht="33.75" customHeight="1">
      <c r="A1" s="21" t="s">
        <v>470</v>
      </c>
      <c r="B1" s="21"/>
      <c r="C1" s="21"/>
      <c r="D1" s="21"/>
      <c r="E1" s="21"/>
      <c r="F1" s="21"/>
      <c r="G1" s="21"/>
      <c r="H1" s="21"/>
    </row>
    <row r="2" spans="8:8" ht="21.75" customHeight="1">
      <c r="A2" s="22" t="s">
        <v>5</v>
      </c>
      <c r="B2" s="22" t="s">
        <v>471</v>
      </c>
      <c r="C2" s="22" t="s">
        <v>2</v>
      </c>
      <c r="D2" s="22" t="s">
        <v>58</v>
      </c>
      <c r="E2" s="22" t="s">
        <v>464</v>
      </c>
      <c r="F2" s="22" t="s">
        <v>382</v>
      </c>
      <c r="G2" s="22" t="s">
        <v>472</v>
      </c>
      <c r="H2" s="22" t="s">
        <v>377</v>
      </c>
    </row>
    <row r="3" spans="8:8" ht="16.5" customHeight="1">
      <c r="A3" s="23" t="s">
        <v>10</v>
      </c>
      <c r="B3" s="23" t="s">
        <v>473</v>
      </c>
      <c r="C3" s="23">
        <f>COUNTIF('🛒 E-Commerce Dataset'!D:D,A3)</f>
        <v>15.0</v>
      </c>
      <c r="D3" s="24">
        <f>SUMIF('🛒 E-Commerce Dataset'!D:D,A3,'🛒 E-Commerce Dataset'!J:J)</f>
        <v>157.0</v>
      </c>
      <c r="E3" s="25">
        <f>SUMIF('🛒 E-Commerce Dataset'!D:D,A3,'🛒 E-Commerce Dataset'!L:L)</f>
        <v>817750.0</v>
      </c>
      <c r="F3" s="25">
        <f>SUMIF('🛒 E-Commerce Dataset'!D:D,A3,'🛒 E-Commerce Dataset'!N:N)</f>
        <v>762258.0</v>
      </c>
      <c r="G3" s="23" t="s">
        <v>468</v>
      </c>
      <c r="H3" s="37">
        <f>_xlfn.IFERROR(_xlfn.AVERAGEIF('🛒 E-Commerce Dataset'!D:D,A3,'🛒 E-Commerce Dataset'!M:M),0)</f>
        <v>8.533333333333333</v>
      </c>
    </row>
    <row r="4" spans="8:8" ht="16.5" customHeight="1">
      <c r="A4" s="27" t="s">
        <v>15</v>
      </c>
      <c r="B4" s="27" t="s">
        <v>474</v>
      </c>
      <c r="C4" s="27">
        <f>COUNTIF('🛒 E-Commerce Dataset'!D:D,A4)</f>
        <v>15.0</v>
      </c>
      <c r="D4" s="28">
        <f>SUMIF('🛒 E-Commerce Dataset'!D:D,A4,'🛒 E-Commerce Dataset'!J:J)</f>
        <v>240.0</v>
      </c>
      <c r="E4" s="29">
        <f>SUMIF('🛒 E-Commerce Dataset'!D:D,A4,'🛒 E-Commerce Dataset'!L:L)</f>
        <v>1011550.0</v>
      </c>
      <c r="F4" s="29">
        <f>SUMIF('🛒 E-Commerce Dataset'!D:D,A4,'🛒 E-Commerce Dataset'!N:N)</f>
        <v>928552.0</v>
      </c>
      <c r="G4" s="38">
        <f>_xlfn.IFERROR((E4-E3)/E3,0)</f>
        <v>0.2369917456435341</v>
      </c>
      <c r="H4" s="38">
        <f>_xlfn.IFERROR(_xlfn.AVERAGEIF('🛒 E-Commerce Dataset'!D:D,A4,'🛒 E-Commerce Dataset'!M:M),0)</f>
        <v>9.866666666666667</v>
      </c>
    </row>
    <row r="5" spans="8:8" ht="16.5" customHeight="1">
      <c r="A5" s="23" t="s">
        <v>20</v>
      </c>
      <c r="B5" s="23" t="s">
        <v>475</v>
      </c>
      <c r="C5" s="23">
        <f>COUNTIF('🛒 E-Commerce Dataset'!D:D,A5)</f>
        <v>15.0</v>
      </c>
      <c r="D5" s="24">
        <f>SUMIF('🛒 E-Commerce Dataset'!D:D,A5,'🛒 E-Commerce Dataset'!J:J)</f>
        <v>194.0</v>
      </c>
      <c r="E5" s="25">
        <f>SUMIF('🛒 E-Commerce Dataset'!D:D,A5,'🛒 E-Commerce Dataset'!L:L)</f>
        <v>1211500.0</v>
      </c>
      <c r="F5" s="25">
        <f>SUMIF('🛒 E-Commerce Dataset'!D:D,A5,'🛒 E-Commerce Dataset'!N:N)</f>
        <v>1118830.0</v>
      </c>
      <c r="G5" s="37">
        <f>_xlfn.IFERROR((E5-E4)/E4,0)</f>
        <v>0.1976669467648658</v>
      </c>
      <c r="H5" s="37">
        <f>_xlfn.IFERROR(_xlfn.AVERAGEIF('🛒 E-Commerce Dataset'!D:D,A5,'🛒 E-Commerce Dataset'!M:M),0)</f>
        <v>9.533333333333333</v>
      </c>
    </row>
    <row r="6" spans="8:8" ht="16.5" customHeight="1">
      <c r="A6" s="27" t="s">
        <v>25</v>
      </c>
      <c r="B6" s="27" t="s">
        <v>476</v>
      </c>
      <c r="C6" s="27">
        <f>COUNTIF('🛒 E-Commerce Dataset'!D:D,A6)</f>
        <v>15.0</v>
      </c>
      <c r="D6" s="28">
        <f>SUMIF('🛒 E-Commerce Dataset'!D:D,A6,'🛒 E-Commerce Dataset'!J:J)</f>
        <v>275.0</v>
      </c>
      <c r="E6" s="29">
        <f>SUMIF('🛒 E-Commerce Dataset'!D:D,A6,'🛒 E-Commerce Dataset'!L:L)</f>
        <v>2320500.0</v>
      </c>
      <c r="F6" s="29">
        <f>SUMIF('🛒 E-Commerce Dataset'!D:D,A6,'🛒 E-Commerce Dataset'!N:N)</f>
        <v>2061490.0</v>
      </c>
      <c r="G6" s="38">
        <f>_xlfn.IFERROR((E6-E5)/E5,0)</f>
        <v>0.915394139496492</v>
      </c>
      <c r="H6" s="38">
        <f>_xlfn.IFERROR(_xlfn.AVERAGEIF('🛒 E-Commerce Dataset'!D:D,A6,'🛒 E-Commerce Dataset'!M:M),0)</f>
        <v>11.2</v>
      </c>
    </row>
    <row r="7" spans="8:8" ht="21.75" customHeight="1">
      <c r="A7" s="31" t="s">
        <v>469</v>
      </c>
      <c r="B7" s="31"/>
      <c r="C7" s="31">
        <f>SUM(C3:C6)</f>
        <v>60.0</v>
      </c>
      <c r="D7" s="32">
        <f>SUM(D3:D6)</f>
        <v>866.0</v>
      </c>
      <c r="E7" s="33">
        <f>SUM(E3:E6)</f>
        <v>5361300.0</v>
      </c>
      <c r="F7" s="33">
        <f>SUM(F3:F6)</f>
        <v>4871130.0</v>
      </c>
      <c r="G7" s="31"/>
      <c r="H7" s="39">
        <f>AVERAGE(H3:H6)</f>
        <v>9.783333333333331</v>
      </c>
    </row>
  </sheetData>
  <mergeCells count="1">
    <mergeCell ref="A1:H1"/>
  </mergeCells>
  <conditionalFormatting sqref="G4:G6">
    <cfRule type="colorScale" priority="2">
      <colorScale>
        <cfvo type="min"/>
        <cfvo type="num" val="0"/>
        <cfvo type="max"/>
        <color rgb="FFEF476F"/>
        <color rgb="FF888888"/>
        <color rgb="FF06D6A0"/>
      </colorScale>
    </cfRule>
  </conditionalFormatting>
  <pageMargins left="0.75" right="0.75" top="1.0" bottom="1.0" header="0.511811023622047" footer="0.511811023622047"/>
  <pageSetup paperSize="9"/>
</worksheet>
</file>

<file path=xl/worksheets/sheet10.xml><?xml version="1.0" encoding="utf-8"?>
<worksheet xmlns:r="http://schemas.openxmlformats.org/officeDocument/2006/relationships" xmlns="http://schemas.openxmlformats.org/spreadsheetml/2006/main">
  <sheetPr>
    <tabColor rgb="FFF472B6"/>
  </sheetPr>
  <dimension ref="A1:V79"/>
  <sheetViews>
    <sheetView tabSelected="1" workbookViewId="0">
      <selection activeCell="A1" sqref="A1:U1"/>
    </sheetView>
  </sheetViews>
  <sheetFormatPr defaultRowHeight="15.0" zeroHeight="1"/>
  <cols>
    <col min="1" max="1" customWidth="1" width="6.0" style="1"/>
    <col min="2" max="5" customWidth="1" width="18.0" style="1"/>
    <col min="6" max="21" customWidth="1" width="7.0" style="1"/>
  </cols>
  <sheetData>
    <row r="1" spans="8:8" ht="39.75" customHeight="1">
      <c r="A1" s="21" t="s">
        <v>477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8:8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8:8" ht="21.75" customHeight="1">
      <c r="A3" s="50" t="s">
        <v>478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8:8" ht="16.5" customHeight="1">
      <c r="A4" s="51" t="s">
        <v>479</v>
      </c>
      <c r="B4" s="51"/>
      <c r="C4" s="51"/>
      <c r="D4" s="52" t="s">
        <v>480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</row>
    <row r="5" spans="8:8" ht="16.5" customHeight="1">
      <c r="A5" s="53" t="s">
        <v>481</v>
      </c>
      <c r="B5" s="53"/>
      <c r="C5" s="53"/>
      <c r="D5" s="54" t="s">
        <v>482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</row>
    <row r="6" spans="8:8" ht="16.5" customHeight="1">
      <c r="A6" s="51" t="s">
        <v>483</v>
      </c>
      <c r="B6" s="51"/>
      <c r="C6" s="51"/>
      <c r="D6" s="52" t="s">
        <v>484</v>
      </c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</row>
    <row r="7" spans="8:8" ht="16.5" customHeight="1">
      <c r="A7" s="53" t="s">
        <v>485</v>
      </c>
      <c r="B7" s="53"/>
      <c r="C7" s="53"/>
      <c r="D7" s="54" t="s">
        <v>486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</row>
    <row r="8" spans="8:8" ht="16.5" customHeight="1">
      <c r="A8" s="51" t="s">
        <v>487</v>
      </c>
      <c r="B8" s="51"/>
      <c r="C8" s="51"/>
      <c r="D8" s="52" t="s">
        <v>488</v>
      </c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</row>
    <row r="9" spans="8:8" ht="15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8:8" ht="21.75" customHeight="1">
      <c r="A10" s="50" t="s">
        <v>489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</row>
    <row r="11" spans="8:8" ht="21.75" customHeight="1">
      <c r="A11" s="55" t="s">
        <v>490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</row>
    <row r="12" spans="8:8" ht="24.0" customHeight="1">
      <c r="A12" s="56" t="s">
        <v>491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</row>
    <row r="13" spans="8:8" ht="24.0" customHeight="1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</row>
    <row r="14" spans="8:8" ht="15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8:8" ht="21.75" customHeight="1">
      <c r="A15" s="55" t="s">
        <v>492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</row>
    <row r="16" spans="8:8" ht="24.0" customHeight="1">
      <c r="A16" s="56" t="s">
        <v>493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</row>
    <row r="17" spans="8:8" ht="24.0" customHeight="1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</row>
    <row r="18" spans="8:8" ht="1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8:8" ht="21.75" customHeight="1">
      <c r="A19" s="55" t="s">
        <v>494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</row>
    <row r="20" spans="8:8" ht="24.0" customHeight="1">
      <c r="A20" s="56" t="s">
        <v>495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</row>
    <row r="21" spans="8:8" ht="24.0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</row>
    <row r="22" spans="8:8" ht="15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8:8" ht="21.75" customHeight="1">
      <c r="A23" s="55" t="s">
        <v>496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</row>
    <row r="24" spans="8:8" ht="24.0" customHeight="1">
      <c r="A24" s="56" t="s">
        <v>497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</row>
    <row r="25" spans="8:8" ht="24.0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</row>
    <row r="26" spans="8:8" ht="15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8:8" ht="21.75" customHeight="1">
      <c r="A27" s="55" t="s">
        <v>498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</row>
    <row r="28" spans="8:8" ht="24.0" customHeight="1">
      <c r="A28" s="56" t="s">
        <v>499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</row>
    <row r="29" spans="8:8" ht="24.0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</row>
    <row r="30" spans="8:8" ht="15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8:8" ht="21.75" customHeight="1">
      <c r="A31" s="55" t="s">
        <v>500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</row>
    <row r="32" spans="8:8" ht="24.0" customHeight="1">
      <c r="A32" s="56" t="s">
        <v>501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</row>
    <row r="33" spans="8:8" ht="24.0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</row>
    <row r="34" spans="8:8" ht="15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8:8" ht="21.75" customHeight="1">
      <c r="A35" s="50" t="s">
        <v>502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</row>
    <row r="36" spans="8:8" ht="21.75" customHeight="1">
      <c r="A36" s="57" t="s">
        <v>503</v>
      </c>
      <c r="B36" s="58" t="s">
        <v>504</v>
      </c>
      <c r="C36" s="58"/>
      <c r="D36" s="58"/>
      <c r="E36" s="58"/>
      <c r="F36" s="56" t="s">
        <v>505</v>
      </c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</row>
    <row r="37" spans="8:8" ht="21.75" customHeight="1">
      <c r="A37" s="59" t="s">
        <v>506</v>
      </c>
      <c r="B37" s="60" t="s">
        <v>507</v>
      </c>
      <c r="C37" s="60"/>
      <c r="D37" s="60"/>
      <c r="E37" s="60"/>
      <c r="F37" s="61" t="s">
        <v>508</v>
      </c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</row>
    <row r="38" spans="8:8" ht="21.75" customHeight="1">
      <c r="A38" s="57" t="s">
        <v>509</v>
      </c>
      <c r="B38" s="58" t="s">
        <v>510</v>
      </c>
      <c r="C38" s="58"/>
      <c r="D38" s="58"/>
      <c r="E38" s="58"/>
      <c r="F38" s="56" t="s">
        <v>511</v>
      </c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</row>
    <row r="39" spans="8:8" ht="21.75" customHeight="1">
      <c r="A39" s="59" t="s">
        <v>512</v>
      </c>
      <c r="B39" s="60" t="s">
        <v>513</v>
      </c>
      <c r="C39" s="60"/>
      <c r="D39" s="60"/>
      <c r="E39" s="60"/>
      <c r="F39" s="61" t="s">
        <v>514</v>
      </c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</row>
    <row r="40" spans="8:8" ht="21.75" customHeight="1">
      <c r="A40" s="57" t="s">
        <v>515</v>
      </c>
      <c r="B40" s="58" t="s">
        <v>516</v>
      </c>
      <c r="C40" s="58"/>
      <c r="D40" s="58"/>
      <c r="E40" s="58"/>
      <c r="F40" s="56" t="s">
        <v>517</v>
      </c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</row>
    <row r="41" spans="8:8" ht="21.75" customHeight="1">
      <c r="A41" s="59" t="s">
        <v>518</v>
      </c>
      <c r="B41" s="60" t="s">
        <v>519</v>
      </c>
      <c r="C41" s="60"/>
      <c r="D41" s="60"/>
      <c r="E41" s="60"/>
      <c r="F41" s="61" t="s">
        <v>520</v>
      </c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</row>
    <row r="42" spans="8:8" ht="15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8:8" ht="15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8:8" ht="15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8:8" ht="15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8:8" ht="15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8:8" ht="15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8:8" ht="15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8:8" ht="15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8:8" ht="15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8:8" ht="15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8:8" ht="15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8:8" ht="15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8:8" ht="15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8:8" ht="15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8:8" ht="15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8:8" ht="15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8:8" ht="15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8:8" ht="15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8:8" ht="15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8:8" ht="15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8:8" ht="15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8:8" ht="15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8:8" ht="15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8:8" ht="15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8:8" ht="15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8:8" ht="15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8:8" ht="15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8:8" ht="15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8:8" ht="15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8:8" ht="15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8:8" ht="15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8:8" ht="15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8:8" ht="15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8:8" ht="15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8:8" ht="15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8:8" ht="15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8:8" ht="15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8:8" ht="15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</sheetData>
  <mergeCells count="38">
    <mergeCell ref="A1:U1"/>
    <mergeCell ref="A3:U3"/>
    <mergeCell ref="A32:U33"/>
    <mergeCell ref="F40:U40"/>
    <mergeCell ref="A35:U35"/>
    <mergeCell ref="F41:U41"/>
    <mergeCell ref="A8:C8"/>
    <mergeCell ref="D5:U5"/>
    <mergeCell ref="A4:C4"/>
    <mergeCell ref="A31:U31"/>
    <mergeCell ref="F39:U39"/>
    <mergeCell ref="A7:C7"/>
    <mergeCell ref="F36:U36"/>
    <mergeCell ref="B38:E38"/>
    <mergeCell ref="D6:U6"/>
    <mergeCell ref="A28:U29"/>
    <mergeCell ref="A27:U27"/>
    <mergeCell ref="A24:U25"/>
    <mergeCell ref="A23:U23"/>
    <mergeCell ref="A20:U21"/>
    <mergeCell ref="A19:U19"/>
    <mergeCell ref="A5:C5"/>
    <mergeCell ref="A16:U17"/>
    <mergeCell ref="A15:U15"/>
    <mergeCell ref="A12:U13"/>
    <mergeCell ref="D8:U8"/>
    <mergeCell ref="A11:U11"/>
    <mergeCell ref="D4:U4"/>
    <mergeCell ref="A10:U10"/>
    <mergeCell ref="A6:C6"/>
    <mergeCell ref="D7:U7"/>
    <mergeCell ref="B41:E41"/>
    <mergeCell ref="F37:U37"/>
    <mergeCell ref="B36:E36"/>
    <mergeCell ref="B39:E39"/>
    <mergeCell ref="F38:U38"/>
    <mergeCell ref="B37:E37"/>
    <mergeCell ref="B40:E40"/>
  </mergeCells>
  <pageMargins left="0.75" right="0.75" top="1.0" bottom="1.0" header="0.511811023622047" footer="0.511811023622047"/>
  <pageSetup paperSize="9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2026-05-09T03:54:09Z</dcterms:created>
  <dcterms:modified xsi:type="dcterms:W3CDTF">2026-05-09T09:27:47Z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27f12232c21c4cbaa23d6b0398601f62</vt:lpwstr>
  </property>
</Properties>
</file>